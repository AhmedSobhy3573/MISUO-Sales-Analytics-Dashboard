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hmed Sobhy\Desktop\Data Analytics Diploma\2- Excel\MISUO Project\04_Dashboard\"/>
    </mc:Choice>
  </mc:AlternateContent>
  <xr:revisionPtr revIDLastSave="0" documentId="13_ncr:1_{8A6D90C8-EA03-453C-BD02-81B65CF73BE7}" xr6:coauthVersionLast="47" xr6:coauthVersionMax="47" xr10:uidLastSave="{00000000-0000-0000-0000-000000000000}"/>
  <bookViews>
    <workbookView xWindow="-108" yWindow="-108" windowWidth="23256" windowHeight="13176" xr2:uid="{00000000-000D-0000-FFFF-FFFF00000000}"/>
  </bookViews>
  <sheets>
    <sheet name="MISUO" sheetId="2" r:id="rId1"/>
    <sheet name="Pivot_Tables" sheetId="3" r:id="rId2"/>
    <sheet name="Overview" sheetId="5" r:id="rId3"/>
    <sheet name="Sales &amp; Market Analysis" sheetId="7" r:id="rId4"/>
    <sheet name="Product &amp; Customer Analysis" sheetId="9" r:id="rId5"/>
  </sheets>
  <definedNames>
    <definedName name="ExternalData_1" localSheetId="0" hidden="1">MISUO!$A$1:$X$121</definedName>
    <definedName name="Slicer_الحالة">#N/A</definedName>
    <definedName name="Slicer_الصنف">#N/A</definedName>
    <definedName name="Slicer_المحافظة">#N/A</definedName>
    <definedName name="Slicer_تجربة_العميل">#N/A</definedName>
    <definedName name="Slicer_منصة_البيع">#N/A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2" i="3" l="1"/>
  <c r="P37" i="3"/>
  <c r="P24" i="3"/>
  <c r="AL18" i="3"/>
  <c r="AL9" i="3"/>
  <c r="D22" i="3"/>
  <c r="D15" i="3"/>
  <c r="D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E04674-56B1-49E3-9C3E-98D9FA0EFB37}" keepAlive="1" name="Query - MISUO" description="Connection to the 'MISUO' query in the workbook." type="5" refreshedVersion="8" background="1" saveData="1">
    <dbPr connection="Provider=Microsoft.Mashup.OleDb.1;Data Source=$Workbook$;Location=MISUO;Extended Properties=&quot;&quot;" command="SELECT * FROM [MISUO]"/>
  </connection>
</connections>
</file>

<file path=xl/sharedStrings.xml><?xml version="1.0" encoding="utf-8"?>
<sst xmlns="http://schemas.openxmlformats.org/spreadsheetml/2006/main" count="1888" uniqueCount="250">
  <si>
    <t>أسم العميل</t>
  </si>
  <si>
    <t>نوع العميل</t>
  </si>
  <si>
    <t>المدينة</t>
  </si>
  <si>
    <t>المحافظة</t>
  </si>
  <si>
    <t xml:space="preserve">منصة البيع </t>
  </si>
  <si>
    <t>الكمية</t>
  </si>
  <si>
    <t>الصنف</t>
  </si>
  <si>
    <t>نوع الصنف</t>
  </si>
  <si>
    <t>الاسم</t>
  </si>
  <si>
    <t>المقاس</t>
  </si>
  <si>
    <t>اللون</t>
  </si>
  <si>
    <t xml:space="preserve">سعر البيع </t>
  </si>
  <si>
    <t>طريقة الدفع</t>
  </si>
  <si>
    <t>تاريخ الطلب</t>
  </si>
  <si>
    <t xml:space="preserve">ميعاد التسليم المتوقع </t>
  </si>
  <si>
    <t>تاريخ التسليم الفعلي</t>
  </si>
  <si>
    <t>المدة المتوقعة</t>
  </si>
  <si>
    <t>المدة الفعلية</t>
  </si>
  <si>
    <t>الفرق بين الفعلي والمتوقع</t>
  </si>
  <si>
    <t>تجربة العميل</t>
  </si>
  <si>
    <t>حالة الالتزام</t>
  </si>
  <si>
    <t>المسئول عن التسليم</t>
  </si>
  <si>
    <t>نوع جهة التسليم</t>
  </si>
  <si>
    <t>الحالة</t>
  </si>
  <si>
    <t xml:space="preserve">احمد </t>
  </si>
  <si>
    <t>أفراد</t>
  </si>
  <si>
    <t>الشروق</t>
  </si>
  <si>
    <t>القاهرة</t>
  </si>
  <si>
    <t>هومزمارت</t>
  </si>
  <si>
    <t>سرير</t>
  </si>
  <si>
    <t>ثلاثة أدوار</t>
  </si>
  <si>
    <t>كيفنج</t>
  </si>
  <si>
    <t>ابيض</t>
  </si>
  <si>
    <t>مسبق الدفع</t>
  </si>
  <si>
    <t>مقبولة</t>
  </si>
  <si>
    <t>متأخر</t>
  </si>
  <si>
    <t xml:space="preserve">محمود على </t>
  </si>
  <si>
    <t>داخلي</t>
  </si>
  <si>
    <t>تم التسليم</t>
  </si>
  <si>
    <t xml:space="preserve">طارق كمال </t>
  </si>
  <si>
    <t>المعادى</t>
  </si>
  <si>
    <t>اسود</t>
  </si>
  <si>
    <t>سيئة</t>
  </si>
  <si>
    <t xml:space="preserve">عبد الله سيد </t>
  </si>
  <si>
    <t>الشيخ زايد</t>
  </si>
  <si>
    <t>الجيزة</t>
  </si>
  <si>
    <t>فردي</t>
  </si>
  <si>
    <t>اسباني</t>
  </si>
  <si>
    <t>ممتازة</t>
  </si>
  <si>
    <t>مبكر</t>
  </si>
  <si>
    <t>ساندرا</t>
  </si>
  <si>
    <t>غير محدد</t>
  </si>
  <si>
    <t>الغردقة</t>
  </si>
  <si>
    <t>ترابيزة</t>
  </si>
  <si>
    <t>قهوة</t>
  </si>
  <si>
    <t>شركة الشحن</t>
  </si>
  <si>
    <t>خارجي</t>
  </si>
  <si>
    <t xml:space="preserve">اسراء ابو العنين </t>
  </si>
  <si>
    <t>القاهرة الجديدة</t>
  </si>
  <si>
    <t xml:space="preserve">شيك هومز </t>
  </si>
  <si>
    <t>شركات</t>
  </si>
  <si>
    <t>كنبة</t>
  </si>
  <si>
    <t>رمادي</t>
  </si>
  <si>
    <t>فيسبوك</t>
  </si>
  <si>
    <t>كاش</t>
  </si>
  <si>
    <t xml:space="preserve">مها </t>
  </si>
  <si>
    <t>العين السخنة</t>
  </si>
  <si>
    <t>السويس</t>
  </si>
  <si>
    <t>دورين</t>
  </si>
  <si>
    <t>ازرق</t>
  </si>
  <si>
    <t xml:space="preserve">تاكى </t>
  </si>
  <si>
    <t>العباسية</t>
  </si>
  <si>
    <t>تاكى</t>
  </si>
  <si>
    <t>ركنة</t>
  </si>
  <si>
    <t>غير معروف</t>
  </si>
  <si>
    <t>سحارة</t>
  </si>
  <si>
    <t xml:space="preserve">فشل التسليم </t>
  </si>
  <si>
    <t>فشل التسليم</t>
  </si>
  <si>
    <t>عبير نور الدين</t>
  </si>
  <si>
    <t>بولاق الدكرور</t>
  </si>
  <si>
    <t>سعيد</t>
  </si>
  <si>
    <t>سيدى عبد الرحمن</t>
  </si>
  <si>
    <t>الساحل الشمالى</t>
  </si>
  <si>
    <t xml:space="preserve">لينا </t>
  </si>
  <si>
    <t xml:space="preserve">المقطم </t>
  </si>
  <si>
    <t>مرتجع</t>
  </si>
  <si>
    <t xml:space="preserve">فيصل نعيم </t>
  </si>
  <si>
    <t xml:space="preserve">التجمع الخامس </t>
  </si>
  <si>
    <t xml:space="preserve">اوسكار راتن </t>
  </si>
  <si>
    <t>كينج</t>
  </si>
  <si>
    <t>فورجينا</t>
  </si>
  <si>
    <t>فوتية</t>
  </si>
  <si>
    <t>فنيسيا</t>
  </si>
  <si>
    <t>صفاء</t>
  </si>
  <si>
    <t>ellho elkafy</t>
  </si>
  <si>
    <t xml:space="preserve">مدينة نصر </t>
  </si>
  <si>
    <t xml:space="preserve">زينا </t>
  </si>
  <si>
    <t>نوفال</t>
  </si>
  <si>
    <t>اوسكار راتن</t>
  </si>
  <si>
    <t>القناطر الخيرية</t>
  </si>
  <si>
    <t>القليوبية</t>
  </si>
  <si>
    <t>حساب شركه</t>
  </si>
  <si>
    <t>ارفيل</t>
  </si>
  <si>
    <t xml:space="preserve">على رشوان </t>
  </si>
  <si>
    <t>مصر الجديدة</t>
  </si>
  <si>
    <t>يوسف شناوى</t>
  </si>
  <si>
    <t>الإبراهيمية</t>
  </si>
  <si>
    <t>الإسكندرية</t>
  </si>
  <si>
    <t>yilmaz</t>
  </si>
  <si>
    <t xml:space="preserve">رنا </t>
  </si>
  <si>
    <t>القطامية</t>
  </si>
  <si>
    <t>حسن حازم</t>
  </si>
  <si>
    <t>٦ اكتوبر</t>
  </si>
  <si>
    <t xml:space="preserve">احمد فخرى </t>
  </si>
  <si>
    <t>وائل صادق</t>
  </si>
  <si>
    <t>كورين</t>
  </si>
  <si>
    <t>دهبي</t>
  </si>
  <si>
    <t xml:space="preserve">حسن مغرب </t>
  </si>
  <si>
    <t xml:space="preserve">مصطفي غنيم </t>
  </si>
  <si>
    <t xml:space="preserve">اسيوط </t>
  </si>
  <si>
    <t xml:space="preserve">هشام بسيونى </t>
  </si>
  <si>
    <t>حدائق الأهرام</t>
  </si>
  <si>
    <t xml:space="preserve">ساره وجيه </t>
  </si>
  <si>
    <t xml:space="preserve">اسراء ابراهيم </t>
  </si>
  <si>
    <t xml:space="preserve">بسام الشربينى </t>
  </si>
  <si>
    <t>بنفسجى</t>
  </si>
  <si>
    <t>صفاء الحكيم</t>
  </si>
  <si>
    <t>منطبق</t>
  </si>
  <si>
    <t xml:space="preserve">هبه عبد الفتاح </t>
  </si>
  <si>
    <t xml:space="preserve">حاتم العيسوي </t>
  </si>
  <si>
    <t>ميار خورشد</t>
  </si>
  <si>
    <t xml:space="preserve">ديفد بهجت </t>
  </si>
  <si>
    <t>فيصل</t>
  </si>
  <si>
    <t xml:space="preserve">اياد </t>
  </si>
  <si>
    <t>محمود</t>
  </si>
  <si>
    <t>سموحة</t>
  </si>
  <si>
    <t xml:space="preserve">خالد عبد القوى </t>
  </si>
  <si>
    <t>العجوزة</t>
  </si>
  <si>
    <t xml:space="preserve">كينج سونا </t>
  </si>
  <si>
    <t xml:space="preserve">احمد خالد </t>
  </si>
  <si>
    <t>الرحاب</t>
  </si>
  <si>
    <t>فردى</t>
  </si>
  <si>
    <t>ساره</t>
  </si>
  <si>
    <t xml:space="preserve">احمد ايمن </t>
  </si>
  <si>
    <t>العبور</t>
  </si>
  <si>
    <t xml:space="preserve">على السيد </t>
  </si>
  <si>
    <t>حسام عبدون</t>
  </si>
  <si>
    <t xml:space="preserve">رامى </t>
  </si>
  <si>
    <t>رحاب</t>
  </si>
  <si>
    <t xml:space="preserve">فؤاد المنسي </t>
  </si>
  <si>
    <t>mohannad</t>
  </si>
  <si>
    <t>Mohamed Ayman</t>
  </si>
  <si>
    <t>مدينة بدر</t>
  </si>
  <si>
    <t>4*1</t>
  </si>
  <si>
    <t>اسامه</t>
  </si>
  <si>
    <t>أبو رواش</t>
  </si>
  <si>
    <t>اسود وبنى</t>
  </si>
  <si>
    <t>ولاء بدوى</t>
  </si>
  <si>
    <t>عبد الرحمن يسري</t>
  </si>
  <si>
    <t xml:space="preserve">نبيتى </t>
  </si>
  <si>
    <t>في الموعد</t>
  </si>
  <si>
    <t>الحج محمد السويس</t>
  </si>
  <si>
    <t>فانتستيك</t>
  </si>
  <si>
    <t xml:space="preserve">تم التسليم بمعرفه الحج سيد </t>
  </si>
  <si>
    <t>شيزلونج</t>
  </si>
  <si>
    <t>عمرو الأسود</t>
  </si>
  <si>
    <t>الزمالك</t>
  </si>
  <si>
    <t>keira</t>
  </si>
  <si>
    <t xml:space="preserve">نوفال </t>
  </si>
  <si>
    <t>100*140</t>
  </si>
  <si>
    <t>وردي</t>
  </si>
  <si>
    <t>tarek</t>
  </si>
  <si>
    <t>reem</t>
  </si>
  <si>
    <t>البطاش</t>
  </si>
  <si>
    <t>هشام سامى</t>
  </si>
  <si>
    <t xml:space="preserve">منزلى </t>
  </si>
  <si>
    <t>بلحه</t>
  </si>
  <si>
    <t>فاطمه محمد</t>
  </si>
  <si>
    <t>بولا هومزمارت</t>
  </si>
  <si>
    <t xml:space="preserve">محمد شكرى </t>
  </si>
  <si>
    <t>مدينتى</t>
  </si>
  <si>
    <t>شيك هومز</t>
  </si>
  <si>
    <t>ارينا</t>
  </si>
  <si>
    <t>منزلى</t>
  </si>
  <si>
    <t>حماده</t>
  </si>
  <si>
    <t>صفاء عبد الباقي</t>
  </si>
  <si>
    <t xml:space="preserve">كينج </t>
  </si>
  <si>
    <t xml:space="preserve">رندا العامرى </t>
  </si>
  <si>
    <t xml:space="preserve">كيمت </t>
  </si>
  <si>
    <t xml:space="preserve">كيفنج </t>
  </si>
  <si>
    <t>امريكى</t>
  </si>
  <si>
    <t>محمد حمدى</t>
  </si>
  <si>
    <t xml:space="preserve">كوين </t>
  </si>
  <si>
    <t xml:space="preserve">بافلى هانى </t>
  </si>
  <si>
    <t xml:space="preserve">شبرا </t>
  </si>
  <si>
    <t xml:space="preserve">م محمد </t>
  </si>
  <si>
    <t>رنا ميلاد</t>
  </si>
  <si>
    <t>جليم</t>
  </si>
  <si>
    <t>مكتبة</t>
  </si>
  <si>
    <t>محمد ناجى</t>
  </si>
  <si>
    <t>احمد عبد الستار</t>
  </si>
  <si>
    <t>المندرة</t>
  </si>
  <si>
    <t xml:space="preserve">نور </t>
  </si>
  <si>
    <t xml:space="preserve">دوران </t>
  </si>
  <si>
    <t>نور</t>
  </si>
  <si>
    <t>تامر</t>
  </si>
  <si>
    <t>هناء اسامه</t>
  </si>
  <si>
    <t xml:space="preserve">دورين </t>
  </si>
  <si>
    <t xml:space="preserve">محمد عادل </t>
  </si>
  <si>
    <t>مريم عنان</t>
  </si>
  <si>
    <t xml:space="preserve">هبه عطيه </t>
  </si>
  <si>
    <t>حمدى ذكرى</t>
  </si>
  <si>
    <t>Total Sales</t>
  </si>
  <si>
    <t>Total Orders</t>
  </si>
  <si>
    <t>Average Selling Price</t>
  </si>
  <si>
    <t>Sales Trend Over Time</t>
  </si>
  <si>
    <t>Row Labels</t>
  </si>
  <si>
    <t>Jul</t>
  </si>
  <si>
    <t>Aug</t>
  </si>
  <si>
    <t>Sep</t>
  </si>
  <si>
    <t>Oct</t>
  </si>
  <si>
    <t>Nov</t>
  </si>
  <si>
    <t>Dec</t>
  </si>
  <si>
    <t>Grand Total</t>
  </si>
  <si>
    <t>Orders Volume Over Time</t>
  </si>
  <si>
    <t>Sales by Color</t>
  </si>
  <si>
    <t>Best Seller (Top Product)</t>
  </si>
  <si>
    <t xml:space="preserve">Best Color sold </t>
  </si>
  <si>
    <t>Sales by Product</t>
  </si>
  <si>
    <t>Sales by Platform</t>
  </si>
  <si>
    <t>On-time Delivery Rate</t>
  </si>
  <si>
    <t>Delivery Status Breakdown</t>
  </si>
  <si>
    <t>Orders by Area</t>
  </si>
  <si>
    <t>MISUO Clients Overview</t>
  </si>
  <si>
    <t>Customer Experience Distribution</t>
  </si>
  <si>
    <t>Sales Perfomance</t>
  </si>
  <si>
    <t>Platform Analysis</t>
  </si>
  <si>
    <t>Product Analysis</t>
  </si>
  <si>
    <t>Delivery Analysis</t>
  </si>
  <si>
    <t>Area Analysis</t>
  </si>
  <si>
    <t>Customer Analysis</t>
  </si>
  <si>
    <t>Avg Price</t>
  </si>
  <si>
    <t>Price</t>
  </si>
  <si>
    <t>Quantity</t>
  </si>
  <si>
    <t>Status</t>
  </si>
  <si>
    <t>Clients number</t>
  </si>
  <si>
    <t>%Experience</t>
  </si>
  <si>
    <t>Count of اللون</t>
  </si>
  <si>
    <t>Count of الصنف</t>
  </si>
  <si>
    <t>Count of المحافظة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</si>
</sst>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0_);_(* \(#,##0\);_(* &quot;-&quot;??_);_(@_)"/>
  </numFmts>
  <fonts count="7" x14ac:knownFonts="1">
    <font>
      <sz val="11"/>
      <color theme="1"/>
      <name val="Calibri"/>
      <family val="2"/>
      <scheme val="minor"/>
    </font>
    <font>
      <sz val="11"/>
      <color theme="1"/>
      <name val="Calibri"/>
      <family val="2"/>
      <scheme val="minor"/>
    </font>
    <font>
      <sz val="26"/>
      <color theme="1"/>
      <name val="Calibri"/>
      <family val="2"/>
      <scheme val="minor"/>
    </font>
    <font>
      <sz val="28"/>
      <color theme="1"/>
      <name val="Calibri"/>
      <family val="2"/>
      <scheme val="minor"/>
    </font>
    <font>
      <b/>
      <sz val="36"/>
      <color theme="1"/>
      <name val="Calibri"/>
      <family val="2"/>
      <scheme val="minor"/>
    </font>
    <font>
      <sz val="24"/>
      <color theme="1"/>
      <name val="Calibri"/>
      <family val="2"/>
      <scheme val="minor"/>
    </font>
    <font>
      <sz val="11"/>
      <color rgb="FFDBDBDB"/>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2F2F2"/>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07">
    <xf numFmtId="0" fontId="0" fillId="0" borderId="0" xfId="0"/>
    <xf numFmtId="14" fontId="0" fillId="0" borderId="0" xfId="0" applyNumberFormat="1"/>
    <xf numFmtId="0" fontId="0" fillId="2" borderId="0" xfId="0" applyFill="1"/>
    <xf numFmtId="0" fontId="0" fillId="2" borderId="5"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164" fontId="0" fillId="2" borderId="0" xfId="1" applyNumberFormat="1" applyFont="1" applyFill="1" applyBorder="1"/>
    <xf numFmtId="0" fontId="0" fillId="2" borderId="17" xfId="0" applyFill="1" applyBorder="1"/>
    <xf numFmtId="0" fontId="0" fillId="2" borderId="18" xfId="0" applyFill="1" applyBorder="1"/>
    <xf numFmtId="0" fontId="0" fillId="2" borderId="7" xfId="0" applyFill="1" applyBorder="1"/>
    <xf numFmtId="0" fontId="0" fillId="2" borderId="19" xfId="0" applyFill="1" applyBorder="1"/>
    <xf numFmtId="0" fontId="0" fillId="2" borderId="4" xfId="0" applyFill="1" applyBorder="1"/>
    <xf numFmtId="0" fontId="0" fillId="2" borderId="20" xfId="0" applyFill="1" applyBorder="1"/>
    <xf numFmtId="0" fontId="0" fillId="2" borderId="9" xfId="0" applyFill="1" applyBorder="1" applyAlignment="1">
      <alignment horizontal="center"/>
    </xf>
    <xf numFmtId="165" fontId="0" fillId="2" borderId="9" xfId="2" applyNumberFormat="1" applyFont="1" applyFill="1" applyBorder="1"/>
    <xf numFmtId="0" fontId="0" fillId="3" borderId="0" xfId="0" applyFill="1"/>
    <xf numFmtId="0" fontId="0" fillId="2" borderId="14" xfId="0" applyFill="1" applyBorder="1"/>
    <xf numFmtId="0" fontId="0" fillId="2" borderId="15" xfId="0" applyFill="1" applyBorder="1"/>
    <xf numFmtId="9" fontId="0" fillId="2" borderId="9" xfId="1" applyFont="1" applyFill="1" applyBorder="1"/>
    <xf numFmtId="165" fontId="0" fillId="0" borderId="22" xfId="0" applyNumberFormat="1" applyBorder="1"/>
    <xf numFmtId="165" fontId="0" fillId="0" borderId="23" xfId="0" applyNumberFormat="1" applyBorder="1"/>
    <xf numFmtId="165" fontId="0" fillId="0" borderId="24" xfId="0" applyNumberFormat="1" applyBorder="1"/>
    <xf numFmtId="0" fontId="0" fillId="0" borderId="21"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1" xfId="0" applyBorder="1" applyAlignment="1">
      <alignment horizontal="left"/>
    </xf>
    <xf numFmtId="0" fontId="0" fillId="0" borderId="21" xfId="0" applyBorder="1"/>
    <xf numFmtId="0" fontId="0" fillId="0" borderId="25" xfId="0" applyBorder="1"/>
    <xf numFmtId="0" fontId="6" fillId="3" borderId="0" xfId="0" applyFont="1" applyFill="1"/>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0" xfId="0" applyFont="1" applyFill="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8" xfId="0" applyFont="1" applyFill="1" applyBorder="1" applyAlignment="1">
      <alignment horizontal="center"/>
    </xf>
    <xf numFmtId="0" fontId="4" fillId="2" borderId="7" xfId="0" applyFont="1" applyFill="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5" fillId="0" borderId="16" xfId="0" applyFont="1" applyBorder="1" applyAlignment="1">
      <alignment horizontal="center"/>
    </xf>
    <xf numFmtId="0" fontId="5" fillId="0" borderId="0" xfId="0" applyFont="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7" xfId="0" applyFont="1" applyBorder="1" applyAlignment="1">
      <alignment horizontal="center"/>
    </xf>
    <xf numFmtId="0" fontId="5" fillId="0" borderId="19"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3" fillId="0" borderId="0" xfId="0" applyFont="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3" fillId="0" borderId="7" xfId="0" applyFont="1" applyBorder="1" applyAlignment="1">
      <alignment horizontal="center"/>
    </xf>
    <xf numFmtId="0" fontId="3" fillId="0" borderId="19" xfId="0" applyFont="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2" fillId="2" borderId="15" xfId="0" applyFont="1" applyFill="1" applyBorder="1" applyAlignment="1">
      <alignment horizontal="center"/>
    </xf>
    <xf numFmtId="0" fontId="2" fillId="2" borderId="16" xfId="0" applyFont="1" applyFill="1" applyBorder="1" applyAlignment="1">
      <alignment horizontal="center"/>
    </xf>
    <xf numFmtId="0" fontId="2" fillId="2" borderId="0" xfId="0" applyFont="1" applyFill="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2" borderId="7" xfId="0" applyFont="1" applyFill="1" applyBorder="1" applyAlignment="1">
      <alignment horizontal="center"/>
    </xf>
    <xf numFmtId="0" fontId="2" fillId="2" borderId="19" xfId="0" applyFont="1" applyFill="1" applyBorder="1" applyAlignment="1">
      <alignment horizontal="center"/>
    </xf>
    <xf numFmtId="0" fontId="3" fillId="2" borderId="13" xfId="0" applyFont="1" applyFill="1" applyBorder="1" applyAlignment="1">
      <alignment horizontal="center"/>
    </xf>
    <xf numFmtId="0" fontId="3" fillId="2" borderId="14" xfId="0" applyFont="1" applyFill="1" applyBorder="1" applyAlignment="1">
      <alignment horizont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3" fillId="2" borderId="0" xfId="0" applyFont="1" applyFill="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0" fontId="3" fillId="2" borderId="7" xfId="0" applyFont="1" applyFill="1" applyBorder="1" applyAlignment="1">
      <alignment horizontal="center"/>
    </xf>
    <xf numFmtId="0" fontId="3" fillId="2" borderId="19" xfId="0" applyFont="1" applyFill="1" applyBorder="1" applyAlignment="1">
      <alignment horizontal="center"/>
    </xf>
    <xf numFmtId="0" fontId="5" fillId="2" borderId="13" xfId="0" applyFont="1" applyFill="1" applyBorder="1" applyAlignment="1">
      <alignment horizontal="center"/>
    </xf>
    <xf numFmtId="0" fontId="5" fillId="2" borderId="14" xfId="0" applyFont="1" applyFill="1" applyBorder="1" applyAlignment="1">
      <alignment horizontal="center"/>
    </xf>
    <xf numFmtId="0" fontId="5" fillId="2" borderId="15" xfId="0" applyFont="1" applyFill="1" applyBorder="1" applyAlignment="1">
      <alignment horizontal="center"/>
    </xf>
    <xf numFmtId="0" fontId="5" fillId="2" borderId="16" xfId="0" applyFont="1" applyFill="1" applyBorder="1" applyAlignment="1">
      <alignment horizontal="center"/>
    </xf>
    <xf numFmtId="0" fontId="5" fillId="2" borderId="0" xfId="0" applyFont="1" applyFill="1" applyAlignment="1">
      <alignment horizontal="center"/>
    </xf>
    <xf numFmtId="0" fontId="5" fillId="2" borderId="17" xfId="0" applyFont="1" applyFill="1" applyBorder="1" applyAlignment="1">
      <alignment horizontal="center"/>
    </xf>
    <xf numFmtId="0" fontId="5" fillId="2" borderId="18" xfId="0" applyFont="1" applyFill="1" applyBorder="1" applyAlignment="1">
      <alignment horizontal="center"/>
    </xf>
    <xf numFmtId="0" fontId="5" fillId="2" borderId="7" xfId="0" applyFont="1" applyFill="1" applyBorder="1" applyAlignment="1">
      <alignment horizontal="center"/>
    </xf>
    <xf numFmtId="0" fontId="5" fillId="2" borderId="19" xfId="0" applyFont="1" applyFill="1" applyBorder="1" applyAlignment="1">
      <alignment horizontal="center"/>
    </xf>
    <xf numFmtId="0" fontId="0" fillId="0" borderId="26" xfId="0" applyBorder="1"/>
    <xf numFmtId="165" fontId="0" fillId="0" borderId="27" xfId="0" applyNumberFormat="1" applyBorder="1"/>
    <xf numFmtId="165" fontId="0" fillId="0" borderId="26" xfId="0" applyNumberFormat="1" applyBorder="1"/>
    <xf numFmtId="165" fontId="0" fillId="0" borderId="28" xfId="0" applyNumberFormat="1" applyBorder="1"/>
    <xf numFmtId="9" fontId="0" fillId="0" borderId="27" xfId="0" applyNumberFormat="1" applyBorder="1"/>
    <xf numFmtId="9" fontId="0" fillId="0" borderId="26" xfId="0" applyNumberFormat="1" applyBorder="1"/>
    <xf numFmtId="0" fontId="0" fillId="0" borderId="27" xfId="0" applyNumberFormat="1" applyBorder="1"/>
    <xf numFmtId="0" fontId="0" fillId="0" borderId="26" xfId="0" applyNumberFormat="1" applyBorder="1"/>
    <xf numFmtId="0" fontId="0" fillId="0" borderId="26" xfId="0" pivotButton="1" applyBorder="1"/>
    <xf numFmtId="0" fontId="0" fillId="0" borderId="27" xfId="0" applyBorder="1" applyAlignment="1">
      <alignment horizontal="left"/>
    </xf>
    <xf numFmtId="0" fontId="0" fillId="0" borderId="26" xfId="0" applyBorder="1" applyAlignment="1">
      <alignment horizontal="left"/>
    </xf>
    <xf numFmtId="0" fontId="0" fillId="0" borderId="22" xfId="0" applyNumberFormat="1" applyBorder="1"/>
    <xf numFmtId="0" fontId="0" fillId="0" borderId="24" xfId="0" applyNumberFormat="1" applyBorder="1"/>
    <xf numFmtId="0" fontId="0" fillId="0" borderId="9" xfId="0" applyBorder="1"/>
    <xf numFmtId="0" fontId="0" fillId="0" borderId="25" xfId="0" applyNumberFormat="1" applyBorder="1"/>
    <xf numFmtId="0" fontId="0" fillId="0" borderId="9" xfId="0" pivotButton="1" applyBorder="1"/>
    <xf numFmtId="0" fontId="0" fillId="0" borderId="28" xfId="0" applyBorder="1" applyAlignment="1">
      <alignment horizontal="left"/>
    </xf>
    <xf numFmtId="0" fontId="0" fillId="0" borderId="9" xfId="0" applyBorder="1" applyAlignment="1">
      <alignment horizontal="left"/>
    </xf>
    <xf numFmtId="0" fontId="0" fillId="0" borderId="23" xfId="0" applyNumberFormat="1" applyBorder="1"/>
    <xf numFmtId="164" fontId="0" fillId="0" borderId="27" xfId="0" applyNumberFormat="1" applyBorder="1"/>
    <xf numFmtId="164" fontId="0" fillId="0" borderId="26" xfId="0" applyNumberFormat="1" applyBorder="1"/>
  </cellXfs>
  <cellStyles count="3">
    <cellStyle name="Comma" xfId="2" builtinId="3"/>
    <cellStyle name="Normal" xfId="0" builtinId="0"/>
    <cellStyle name="Percent" xfId="1" builtinId="5"/>
  </cellStyles>
  <dxfs count="3143">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numFmt numFmtId="164" formatCode="0.0%"/>
    </dxf>
    <dxf>
      <numFmt numFmtId="164" formatCode="0.0%"/>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numFmt numFmtId="13"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numFmt numFmtId="13" formatCode="0%"/>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numFmt numFmtId="165" formatCode="_(* #,##0_);_(* \(#,##0\);_(* &quot;-&quot;??_);_(@_)"/>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numFmt numFmtId="165" formatCode="_(* #,##0_);_(* \(#,##0\);_(* &quot;-&quot;??_);_(@_)"/>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numFmt numFmtId="165" formatCode="_(* #,##0_);_(* \(#,##0\);_(* &quot;-&quot;??_);_(@_)"/>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numFmt numFmtId="13" formatCode="0%"/>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numFmt numFmtId="13" formatCode="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0"/>
        <color rgb="FFDBDBDB"/>
      </font>
      <fill>
        <patternFill>
          <bgColor rgb="FF1B2A49"/>
        </patternFill>
      </fill>
      <border diagonalUp="0" diagonalDown="0">
        <left style="thin">
          <color auto="1"/>
        </left>
        <right style="thin">
          <color auto="1"/>
        </right>
        <top style="thin">
          <color auto="1"/>
        </top>
        <bottom style="thin">
          <color auto="1"/>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85864DB1-D66A-47CF-8E79-0D7C9FCEAA49}">
      <tableStyleElement type="wholeTable" dxfId="3142"/>
    </tableStyle>
    <tableStyle name="Slicer Style 2" pivot="0" table="0" count="6" xr9:uid="{CB0E41DB-7CCE-446B-BE7F-42CAF4D2FC60}">
      <tableStyleElement type="wholeTable" dxfId="3141"/>
    </tableStyle>
  </tableStyles>
  <colors>
    <mruColors>
      <color rgb="FF9F0704"/>
      <color rgb="FF310201"/>
      <color rgb="FF730603"/>
      <color rgb="FFDBDBDB"/>
      <color rgb="FF1B2A49"/>
      <color rgb="FF486BB8"/>
      <color rgb="FF0E1524"/>
      <color rgb="FF182540"/>
      <color rgb="FFF2F2F2"/>
      <color rgb="FFB30905"/>
    </mruColors>
  </colors>
  <extLst>
    <ext xmlns:x14="http://schemas.microsoft.com/office/spreadsheetml/2009/9/main" uri="{46F421CA-312F-682f-3DD2-61675219B42D}">
      <x14:dxfs count="5">
        <dxf>
          <fill>
            <patternFill>
              <bgColor rgb="FF486BB8"/>
            </patternFill>
          </fill>
        </dxf>
        <dxf>
          <fill>
            <patternFill>
              <bgColor rgb="FF486BB8"/>
            </patternFill>
          </fill>
        </dxf>
        <dxf>
          <fill>
            <patternFill>
              <bgColor rgb="FF486BB8"/>
            </patternFill>
          </fill>
        </dxf>
        <dxf>
          <fill>
            <patternFill>
              <bgColor rgb="FF0E1524"/>
            </patternFill>
          </fill>
        </dxf>
        <dxf>
          <fill>
            <patternFill>
              <bgColor rgb="FF0E152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[MISUO_Sales_Dashboard.xlsx]Pivot_Tables!PivotTable5</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rgbClr val="DBDBDB"/>
                </a:solidFill>
              </a:rPr>
              <a:t>Sales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8611111111111113E-2"/>
              <c:y val="-0.127280183727034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208442694663164E-2"/>
              <c:y val="-0.13190981335666374"/>
            </c:manualLayout>
          </c:layout>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fld id="{18602393-9E85-461C-94DD-0F77CE28C0EE}" type="VALUE">
                  <a:rPr lang="en-US"/>
                  <a:pPr>
                    <a:defRPr sz="900" b="1"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8611111111111113E-2"/>
              <c:y val="-0.127280183727034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208442694663164E-2"/>
              <c:y val="-0.13190981335666374"/>
            </c:manualLayout>
          </c:layout>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fld id="{18602393-9E85-461C-94DD-0F77CE28C0EE}" type="VALUE">
                  <a:rPr lang="en-US"/>
                  <a:pPr>
                    <a:defRPr sz="900" b="1" i="0" u="none" strike="noStrike" kern="1200" baseline="0">
                      <a:solidFill>
                        <a:schemeClr val="tx1"/>
                      </a:solidFill>
                      <a:latin typeface="+mn-lt"/>
                      <a:ea typeface="+mn-ea"/>
                      <a:cs typeface="+mn-cs"/>
                    </a:defRPr>
                  </a:pPr>
                  <a:t>[VALUE]</a:t>
                </a:fld>
                <a:endParaRPr lang="en-US"/>
              </a:p>
            </c:rich>
          </c:tx>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44040598129874"/>
              <c:y val="-0.105917167661735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696007884188048"/>
              <c:y val="-2.1155253718437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697206784278906E-2"/>
              <c:y val="-0.1106261628808075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44040598129874"/>
              <c:y val="-0.105917167661735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696007884188048"/>
              <c:y val="-2.1155253718437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697206784278906E-2"/>
              <c:y val="-0.1106261628808075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9F0704"/>
            </a:solidFill>
            <a:round/>
          </a:ln>
          <a:effectLst/>
        </c:spPr>
        <c:marker>
          <c:symbol val="circle"/>
          <c:size val="5"/>
          <c:spPr>
            <a:solidFill>
              <a:srgbClr val="9F070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BDBD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9F0704"/>
            </a:solidFill>
            <a:round/>
          </a:ln>
          <a:effectLst/>
        </c:spPr>
        <c:marker>
          <c:symbol val="circle"/>
          <c:size val="5"/>
          <c:spPr>
            <a:solidFill>
              <a:srgbClr val="9F0704"/>
            </a:solidFill>
            <a:ln w="9525">
              <a:noFill/>
            </a:ln>
            <a:effectLst/>
          </c:spPr>
        </c:marker>
        <c:dLbl>
          <c:idx val="0"/>
          <c:layout>
            <c:manualLayout>
              <c:x val="-0.1144040598129874"/>
              <c:y val="-0.105917167661735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BDBDB"/>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9F0704"/>
            </a:solidFill>
            <a:round/>
          </a:ln>
          <a:effectLst/>
        </c:spPr>
        <c:marker>
          <c:symbol val="circle"/>
          <c:size val="5"/>
          <c:spPr>
            <a:solidFill>
              <a:srgbClr val="9F0704"/>
            </a:solidFill>
            <a:ln w="9525">
              <a:noFill/>
            </a:ln>
            <a:effectLst/>
          </c:spPr>
        </c:marker>
        <c:dLbl>
          <c:idx val="0"/>
          <c:layout>
            <c:manualLayout>
              <c:x val="-0.15696007884188048"/>
              <c:y val="-2.1155253718437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BDBDB"/>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9F0704"/>
            </a:solidFill>
            <a:round/>
          </a:ln>
          <a:effectLst/>
        </c:spPr>
        <c:marker>
          <c:symbol val="circle"/>
          <c:size val="5"/>
          <c:spPr>
            <a:solidFill>
              <a:srgbClr val="9F0704"/>
            </a:solidFill>
            <a:ln w="9525">
              <a:noFill/>
            </a:ln>
            <a:effectLst/>
          </c:spPr>
        </c:marker>
        <c:dLbl>
          <c:idx val="0"/>
          <c:layout>
            <c:manualLayout>
              <c:x val="-5.6697206784278906E-2"/>
              <c:y val="-0.1106261628808075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BDBDB"/>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9F0704"/>
            </a:solidFill>
            <a:round/>
          </a:ln>
          <a:effectLst/>
        </c:spPr>
        <c:marker>
          <c:symbol val="circle"/>
          <c:size val="5"/>
          <c:spPr>
            <a:solidFill>
              <a:srgbClr val="9F070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9F0704"/>
            </a:solidFill>
            <a:round/>
          </a:ln>
          <a:effectLst/>
        </c:spPr>
        <c:marker>
          <c:symbol val="circle"/>
          <c:size val="5"/>
          <c:spPr>
            <a:solidFill>
              <a:srgbClr val="9F0704"/>
            </a:solidFill>
            <a:ln w="9525">
              <a:noFill/>
            </a:ln>
            <a:effectLst/>
          </c:spPr>
        </c:marker>
        <c:dLbl>
          <c:idx val="0"/>
          <c:layout>
            <c:manualLayout>
              <c:x val="-8.6791425348008197E-2"/>
              <c:y val="-3.98038878906136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9F0704"/>
            </a:solidFill>
            <a:round/>
          </a:ln>
          <a:effectLst/>
        </c:spPr>
        <c:marker>
          <c:symbol val="circle"/>
          <c:size val="5"/>
          <c:spPr>
            <a:solidFill>
              <a:srgbClr val="9F0704"/>
            </a:solidFill>
            <a:ln w="9525">
              <a:noFill/>
            </a:ln>
            <a:effectLst/>
          </c:spPr>
        </c:marker>
        <c:dLbl>
          <c:idx val="0"/>
          <c:layout>
            <c:manualLayout>
              <c:x val="-1.3774825533372842E-2"/>
              <c:y val="-6.87915949344552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9F0704"/>
            </a:solidFill>
            <a:round/>
          </a:ln>
          <a:effectLst/>
        </c:spPr>
        <c:marker>
          <c:symbol val="circle"/>
          <c:size val="5"/>
          <c:spPr>
            <a:solidFill>
              <a:srgbClr val="9F0704"/>
            </a:solidFill>
            <a:ln w="9525">
              <a:noFill/>
            </a:ln>
            <a:effectLst/>
          </c:spPr>
        </c:marker>
        <c:dLbl>
          <c:idx val="0"/>
          <c:layout>
            <c:manualLayout>
              <c:x val="-4.5602574170521409E-2"/>
              <c:y val="-6.87915949344552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Pivot_Tables!$C$28</c:f>
              <c:strCache>
                <c:ptCount val="1"/>
                <c:pt idx="0">
                  <c:v>Total</c:v>
                </c:pt>
              </c:strCache>
            </c:strRef>
          </c:tx>
          <c:spPr>
            <a:ln w="28575" cap="rnd">
              <a:solidFill>
                <a:srgbClr val="9F0704"/>
              </a:solidFill>
              <a:round/>
            </a:ln>
            <a:effectLst/>
          </c:spPr>
          <c:marker>
            <c:symbol val="circle"/>
            <c:size val="5"/>
            <c:spPr>
              <a:solidFill>
                <a:srgbClr val="9F0704"/>
              </a:solidFill>
              <a:ln w="9525">
                <a:noFill/>
              </a:ln>
              <a:effectLst/>
            </c:spPr>
          </c:marker>
          <c:dPt>
            <c:idx val="2"/>
            <c:marker>
              <c:symbol val="circle"/>
              <c:size val="5"/>
              <c:spPr>
                <a:solidFill>
                  <a:srgbClr val="9F0704"/>
                </a:solidFill>
                <a:ln w="9525">
                  <a:noFill/>
                </a:ln>
                <a:effectLst/>
              </c:spPr>
            </c:marker>
            <c:bubble3D val="0"/>
            <c:spPr>
              <a:ln w="28575" cap="rnd">
                <a:solidFill>
                  <a:srgbClr val="9F0704"/>
                </a:solidFill>
                <a:round/>
              </a:ln>
              <a:effectLst/>
            </c:spPr>
            <c:extLst>
              <c:ext xmlns:c16="http://schemas.microsoft.com/office/drawing/2014/chart" uri="{C3380CC4-5D6E-409C-BE32-E72D297353CC}">
                <c16:uniqueId val="{00000000-BB83-43C7-B181-CD307E03D4AB}"/>
              </c:ext>
            </c:extLst>
          </c:dPt>
          <c:dPt>
            <c:idx val="3"/>
            <c:marker>
              <c:symbol val="circle"/>
              <c:size val="5"/>
              <c:spPr>
                <a:solidFill>
                  <a:srgbClr val="9F0704"/>
                </a:solidFill>
                <a:ln w="9525">
                  <a:noFill/>
                </a:ln>
                <a:effectLst/>
              </c:spPr>
            </c:marker>
            <c:bubble3D val="0"/>
            <c:spPr>
              <a:ln w="28575" cap="rnd">
                <a:solidFill>
                  <a:srgbClr val="9F0704"/>
                </a:solidFill>
                <a:round/>
              </a:ln>
              <a:effectLst/>
            </c:spPr>
            <c:extLst>
              <c:ext xmlns:c16="http://schemas.microsoft.com/office/drawing/2014/chart" uri="{C3380CC4-5D6E-409C-BE32-E72D297353CC}">
                <c16:uniqueId val="{00000001-BB83-43C7-B181-CD307E03D4AB}"/>
              </c:ext>
            </c:extLst>
          </c:dPt>
          <c:dPt>
            <c:idx val="4"/>
            <c:marker>
              <c:symbol val="circle"/>
              <c:size val="5"/>
              <c:spPr>
                <a:solidFill>
                  <a:srgbClr val="9F0704"/>
                </a:solidFill>
                <a:ln w="9525">
                  <a:noFill/>
                </a:ln>
                <a:effectLst/>
              </c:spPr>
            </c:marker>
            <c:bubble3D val="0"/>
            <c:spPr>
              <a:ln w="28575" cap="rnd">
                <a:solidFill>
                  <a:srgbClr val="9F0704"/>
                </a:solidFill>
                <a:round/>
              </a:ln>
              <a:effectLst/>
            </c:spPr>
            <c:extLst>
              <c:ext xmlns:c16="http://schemas.microsoft.com/office/drawing/2014/chart" uri="{C3380CC4-5D6E-409C-BE32-E72D297353CC}">
                <c16:uniqueId val="{00000002-BB83-43C7-B181-CD307E03D4AB}"/>
              </c:ext>
            </c:extLst>
          </c:dPt>
          <c:dLbls>
            <c:dLbl>
              <c:idx val="2"/>
              <c:layout>
                <c:manualLayout>
                  <c:x val="-8.6791425348008197E-2"/>
                  <c:y val="-3.9803887890613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83-43C7-B181-CD307E03D4AB}"/>
                </c:ext>
              </c:extLst>
            </c:dLbl>
            <c:dLbl>
              <c:idx val="3"/>
              <c:layout>
                <c:manualLayout>
                  <c:x val="-1.3774825533372842E-2"/>
                  <c:y val="-6.87915949344552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83-43C7-B181-CD307E03D4AB}"/>
                </c:ext>
              </c:extLst>
            </c:dLbl>
            <c:dLbl>
              <c:idx val="4"/>
              <c:layout>
                <c:manualLayout>
                  <c:x val="-4.5602574170521409E-2"/>
                  <c:y val="-6.87915949344552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83-43C7-B181-CD307E03D4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Pivot_Tables!$B$29:$B$35</c:f>
              <c:strCache>
                <c:ptCount val="6"/>
                <c:pt idx="0">
                  <c:v>Jul</c:v>
                </c:pt>
                <c:pt idx="1">
                  <c:v>Aug</c:v>
                </c:pt>
                <c:pt idx="2">
                  <c:v>Sep</c:v>
                </c:pt>
                <c:pt idx="3">
                  <c:v>Oct</c:v>
                </c:pt>
                <c:pt idx="4">
                  <c:v>Nov</c:v>
                </c:pt>
                <c:pt idx="5">
                  <c:v>Dec</c:v>
                </c:pt>
              </c:strCache>
            </c:strRef>
          </c:cat>
          <c:val>
            <c:numRef>
              <c:f>Pivot_Tables!$C$29:$C$35</c:f>
              <c:numCache>
                <c:formatCode>_(* #,##0_);_(* \(#,##0\);_(* "-"??_);_(@_)</c:formatCode>
                <c:ptCount val="6"/>
                <c:pt idx="0">
                  <c:v>31775</c:v>
                </c:pt>
                <c:pt idx="1">
                  <c:v>83253</c:v>
                </c:pt>
                <c:pt idx="2">
                  <c:v>654064</c:v>
                </c:pt>
                <c:pt idx="3">
                  <c:v>213095.41</c:v>
                </c:pt>
                <c:pt idx="4">
                  <c:v>184907</c:v>
                </c:pt>
                <c:pt idx="5">
                  <c:v>71198</c:v>
                </c:pt>
              </c:numCache>
            </c:numRef>
          </c:val>
          <c:smooth val="1"/>
          <c:extLst>
            <c:ext xmlns:c16="http://schemas.microsoft.com/office/drawing/2014/chart" uri="{C3380CC4-5D6E-409C-BE32-E72D297353CC}">
              <c16:uniqueId val="{00000000-A3FA-4117-9046-957C9289D6B0}"/>
            </c:ext>
          </c:extLst>
        </c:ser>
        <c:dLbls>
          <c:dLblPos val="t"/>
          <c:showLegendKey val="0"/>
          <c:showVal val="1"/>
          <c:showCatName val="0"/>
          <c:showSerName val="0"/>
          <c:showPercent val="0"/>
          <c:showBubbleSize val="0"/>
        </c:dLbls>
        <c:marker val="1"/>
        <c:smooth val="0"/>
        <c:axId val="398518160"/>
        <c:axId val="398516240"/>
      </c:lineChart>
      <c:catAx>
        <c:axId val="39851816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DBDBDB"/>
                    </a:solidFill>
                    <a:latin typeface="+mn-lt"/>
                    <a:ea typeface="+mn-ea"/>
                    <a:cs typeface="+mn-cs"/>
                  </a:defRPr>
                </a:pPr>
                <a:r>
                  <a:rPr lang="en-US">
                    <a:solidFill>
                      <a:srgbClr val="DBDBDB"/>
                    </a:solidFill>
                  </a:rPr>
                  <a:t>Date</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DBDBDB"/>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DBDBDB"/>
                </a:solidFill>
                <a:latin typeface="+mn-lt"/>
                <a:ea typeface="+mn-ea"/>
                <a:cs typeface="+mn-cs"/>
              </a:defRPr>
            </a:pPr>
            <a:endParaRPr lang="en-US"/>
          </a:p>
        </c:txPr>
        <c:crossAx val="398516240"/>
        <c:crosses val="autoZero"/>
        <c:auto val="1"/>
        <c:lblAlgn val="ctr"/>
        <c:lblOffset val="100"/>
        <c:noMultiLvlLbl val="0"/>
      </c:catAx>
      <c:valAx>
        <c:axId val="398516240"/>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DBDBDB"/>
                    </a:solidFill>
                    <a:latin typeface="+mn-lt"/>
                    <a:ea typeface="+mn-ea"/>
                    <a:cs typeface="+mn-cs"/>
                  </a:defRPr>
                </a:pPr>
                <a:r>
                  <a:rPr lang="en-US">
                    <a:solidFill>
                      <a:srgbClr val="DBDBDB"/>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DBDBDB"/>
                  </a:solidFill>
                  <a:latin typeface="+mn-lt"/>
                  <a:ea typeface="+mn-ea"/>
                  <a:cs typeface="+mn-cs"/>
                </a:defRPr>
              </a:pPr>
              <a:endParaRPr lang="en-US"/>
            </a:p>
          </c:txPr>
        </c:title>
        <c:numFmt formatCode="_(* #,##0_);_(* \(#,##0\);_(* &quot;-&quot;??_);_(@_)" sourceLinked="1"/>
        <c:majorTickMark val="out"/>
        <c:minorTickMark val="none"/>
        <c:tickLblPos val="nextTo"/>
        <c:crossAx val="39851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[MISUO_Sales_Dashboard.xlsx]Pivot_Tables!PivotTable6</c:name>
    <c:fmtId val="8"/>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a:solidFill>
                  <a:srgbClr val="DBDBDB"/>
                </a:solidFill>
              </a:rPr>
              <a:t>Orders Volume Over Time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F0704"/>
            </a:solidFill>
            <a:round/>
          </a:ln>
          <a:effectLst/>
        </c:spPr>
        <c:marker>
          <c:symbol val="circle"/>
          <c:size val="5"/>
          <c:spPr>
            <a:solidFill>
              <a:srgbClr val="9F0704"/>
            </a:solidFill>
            <a:ln w="9525">
              <a:noFill/>
            </a:ln>
            <a:effectLst/>
          </c:spPr>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9F0704"/>
            </a:solidFill>
            <a:round/>
          </a:ln>
          <a:effectLst/>
        </c:spPr>
        <c:marker>
          <c:symbol val="circle"/>
          <c:size val="5"/>
          <c:spPr>
            <a:solidFill>
              <a:srgbClr val="9F070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9F0704"/>
            </a:solidFill>
            <a:round/>
          </a:ln>
          <a:effectLst/>
        </c:spPr>
        <c:marker>
          <c:symbol val="circle"/>
          <c:size val="5"/>
          <c:spPr>
            <a:solidFill>
              <a:srgbClr val="9F0704"/>
            </a:solidFill>
            <a:ln w="9525">
              <a:noFill/>
            </a:ln>
            <a:effectLst/>
          </c:spPr>
        </c:marker>
        <c:dLbl>
          <c:idx val="0"/>
          <c:layout>
            <c:manualLayout>
              <c:x val="-7.7875310172782208E-2"/>
              <c:y val="-2.242050655254414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Pivot_Tables!$C$40</c:f>
              <c:strCache>
                <c:ptCount val="1"/>
                <c:pt idx="0">
                  <c:v>Total</c:v>
                </c:pt>
              </c:strCache>
            </c:strRef>
          </c:tx>
          <c:spPr>
            <a:ln w="28575" cap="rnd">
              <a:solidFill>
                <a:srgbClr val="9F0704"/>
              </a:solidFill>
              <a:round/>
            </a:ln>
            <a:effectLst/>
          </c:spPr>
          <c:marker>
            <c:symbol val="circle"/>
            <c:size val="5"/>
            <c:spPr>
              <a:solidFill>
                <a:srgbClr val="9F0704"/>
              </a:solidFill>
              <a:ln w="9525">
                <a:noFill/>
              </a:ln>
              <a:effectLst/>
            </c:spPr>
          </c:marker>
          <c:dPt>
            <c:idx val="2"/>
            <c:marker>
              <c:symbol val="circle"/>
              <c:size val="5"/>
              <c:spPr>
                <a:solidFill>
                  <a:srgbClr val="9F0704"/>
                </a:solidFill>
                <a:ln w="9525">
                  <a:noFill/>
                </a:ln>
                <a:effectLst/>
              </c:spPr>
            </c:marker>
            <c:bubble3D val="0"/>
            <c:spPr>
              <a:ln w="28575" cap="rnd">
                <a:solidFill>
                  <a:srgbClr val="9F0704"/>
                </a:solidFill>
                <a:round/>
              </a:ln>
              <a:effectLst/>
            </c:spPr>
            <c:extLst>
              <c:ext xmlns:c16="http://schemas.microsoft.com/office/drawing/2014/chart" uri="{C3380CC4-5D6E-409C-BE32-E72D297353CC}">
                <c16:uniqueId val="{00000000-9806-4C1E-AD16-BB37E0A2CFA9}"/>
              </c:ext>
            </c:extLst>
          </c:dPt>
          <c:dLbls>
            <c:dLbl>
              <c:idx val="2"/>
              <c:layout>
                <c:manualLayout>
                  <c:x val="-7.7875310172782208E-2"/>
                  <c:y val="-2.2420506552544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06-4C1E-AD16-BB37E0A2CFA9}"/>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Pivot_Tables!$B$41:$B$47</c:f>
              <c:strCache>
                <c:ptCount val="6"/>
                <c:pt idx="0">
                  <c:v>Jul</c:v>
                </c:pt>
                <c:pt idx="1">
                  <c:v>Aug</c:v>
                </c:pt>
                <c:pt idx="2">
                  <c:v>Sep</c:v>
                </c:pt>
                <c:pt idx="3">
                  <c:v>Oct</c:v>
                </c:pt>
                <c:pt idx="4">
                  <c:v>Nov</c:v>
                </c:pt>
                <c:pt idx="5">
                  <c:v>Dec</c:v>
                </c:pt>
              </c:strCache>
            </c:strRef>
          </c:cat>
          <c:val>
            <c:numRef>
              <c:f>Pivot_Tables!$C$41:$C$47</c:f>
              <c:numCache>
                <c:formatCode>General</c:formatCode>
                <c:ptCount val="6"/>
                <c:pt idx="0">
                  <c:v>3</c:v>
                </c:pt>
                <c:pt idx="1">
                  <c:v>8</c:v>
                </c:pt>
                <c:pt idx="2">
                  <c:v>83</c:v>
                </c:pt>
                <c:pt idx="3">
                  <c:v>21</c:v>
                </c:pt>
                <c:pt idx="4">
                  <c:v>20</c:v>
                </c:pt>
                <c:pt idx="5">
                  <c:v>7</c:v>
                </c:pt>
              </c:numCache>
            </c:numRef>
          </c:val>
          <c:smooth val="1"/>
          <c:extLst>
            <c:ext xmlns:c16="http://schemas.microsoft.com/office/drawing/2014/chart" uri="{C3380CC4-5D6E-409C-BE32-E72D297353CC}">
              <c16:uniqueId val="{00000000-7EBE-4151-9E9C-256E790F9533}"/>
            </c:ext>
          </c:extLst>
        </c:ser>
        <c:dLbls>
          <c:dLblPos val="t"/>
          <c:showLegendKey val="0"/>
          <c:showVal val="1"/>
          <c:showCatName val="0"/>
          <c:showSerName val="0"/>
          <c:showPercent val="0"/>
          <c:showBubbleSize val="0"/>
        </c:dLbls>
        <c:marker val="1"/>
        <c:smooth val="0"/>
        <c:axId val="745080415"/>
        <c:axId val="745097215"/>
      </c:lineChart>
      <c:catAx>
        <c:axId val="745080415"/>
        <c:scaling>
          <c:orientation val="minMax"/>
        </c:scaling>
        <c:delete val="0"/>
        <c:axPos val="b"/>
        <c:title>
          <c:tx>
            <c:rich>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r>
                  <a:rPr lang="en-US">
                    <a:solidFill>
                      <a:srgbClr val="DBDBDB"/>
                    </a:solidFill>
                  </a:rPr>
                  <a:t>Date</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crossAx val="745097215"/>
        <c:crosses val="autoZero"/>
        <c:auto val="1"/>
        <c:lblAlgn val="ctr"/>
        <c:lblOffset val="100"/>
        <c:noMultiLvlLbl val="0"/>
      </c:catAx>
      <c:valAx>
        <c:axId val="745097215"/>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r>
                  <a:rPr lang="en-US">
                    <a:solidFill>
                      <a:srgbClr val="DBDBDB"/>
                    </a:solidFill>
                  </a:rPr>
                  <a:t>Quantity</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title>
        <c:numFmt formatCode="General" sourceLinked="1"/>
        <c:majorTickMark val="none"/>
        <c:minorTickMark val="none"/>
        <c:tickLblPos val="nextTo"/>
        <c:crossAx val="74508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[MISUO_Sales_Dashboard.xlsx]Pivot_Tables!PivotTable12</c:name>
    <c:fmtId val="9"/>
  </c:pivotSource>
  <c:chart>
    <c:title>
      <c:tx>
        <c:rich>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r>
              <a:rPr lang="en-US" sz="1200">
                <a:solidFill>
                  <a:srgbClr val="DBDBDB"/>
                </a:solidFill>
              </a:rPr>
              <a:t>Arrival Time Status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2.4673775153105863E-2"/>
              <c:y val="-3.1889763779527559E-3"/>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5521981627296589E-2"/>
              <c:y val="-4.355715952172645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3.1739063867016623E-2"/>
              <c:y val="-2.2327938174394866E-3"/>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521981627296589E-2"/>
              <c:y val="-4.3557159521726452E-2"/>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4673775153105863E-2"/>
              <c:y val="-3.1889763779527559E-3"/>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1739063867016623E-2"/>
              <c:y val="-2.2327938174394866E-3"/>
            </c:manualLayout>
          </c:layout>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5521981627296589E-2"/>
              <c:y val="-4.3557159521726452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4673775153105863E-2"/>
              <c:y val="-3.1889763779527559E-3"/>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3.1739063867016623E-2"/>
              <c:y val="-2.2327938174394866E-3"/>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1.5521981627296589E-2"/>
              <c:y val="-4.3557159521726452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4673775153105863E-2"/>
              <c:y val="-3.1889763779527559E-3"/>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1739063867016623E-2"/>
              <c:y val="-2.2327938174394866E-3"/>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2942803013938779E-3"/>
              <c:y val="-1.961018418474685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dLbl>
          <c:idx val="0"/>
          <c:layout>
            <c:manualLayout>
              <c:x val="-5.4968045047239997E-3"/>
              <c:y val="7.5788867935302118E-4"/>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6.2942803013938779E-3"/>
              <c:y val="-1.961018418474685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4968045047239997E-3"/>
              <c:y val="7.5788867935302118E-4"/>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F0704"/>
          </a:solidFill>
          <a:ln w="19050">
            <a:noFill/>
          </a:ln>
          <a:effectLst/>
        </c:spPr>
        <c:dLbl>
          <c:idx val="0"/>
          <c:layout>
            <c:manualLayout>
              <c:x val="2.5052272580721298E-2"/>
              <c:y val="3.1989069598311222E-2"/>
            </c:manualLayout>
          </c:layout>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30603"/>
          </a:solidFill>
          <a:ln w="19050">
            <a:noFill/>
          </a:ln>
          <a:effectLst/>
        </c:spPr>
        <c:dLbl>
          <c:idx val="0"/>
          <c:layout>
            <c:manualLayout>
              <c:x val="-5.4968045047239997E-3"/>
              <c:y val="7.5788867935302118E-4"/>
            </c:manualLayout>
          </c:layout>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310201"/>
          </a:solidFill>
          <a:ln w="19050">
            <a:noFill/>
          </a:ln>
          <a:effectLst/>
        </c:spPr>
        <c:dLbl>
          <c:idx val="0"/>
          <c:layout>
            <c:manualLayout>
              <c:x val="8.8599903183498127E-2"/>
              <c:y val="-1.1721509245162664E-2"/>
            </c:manualLayout>
          </c:layout>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9F0704"/>
          </a:solidFill>
          <a:ln w="19050">
            <a:noFill/>
          </a:ln>
          <a:effectLst/>
        </c:spPr>
        <c:dLbl>
          <c:idx val="0"/>
          <c:layout>
            <c:manualLayout>
              <c:x val="3.0528556712688195E-2"/>
              <c:y val="3.9480552257383601E-3"/>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730603"/>
          </a:solidFill>
          <a:ln w="19050">
            <a:noFill/>
          </a:ln>
          <a:effectLst/>
        </c:spPr>
        <c:dLbl>
          <c:idx val="0"/>
          <c:layout>
            <c:manualLayout>
              <c:x val="-2.5587064330421103E-2"/>
              <c:y val="-7.0248194609353045E-3"/>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310201"/>
          </a:solidFill>
          <a:ln w="19050">
            <a:noFill/>
          </a:ln>
          <a:effectLst/>
        </c:spPr>
        <c:dLbl>
          <c:idx val="0"/>
          <c:layout>
            <c:manualLayout>
              <c:x val="8.6650390734212518E-2"/>
              <c:y val="-2.0487670572849448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9F0704"/>
          </a:solidFill>
          <a:ln w="19050">
            <a:noFill/>
          </a:ln>
          <a:effectLst/>
        </c:spPr>
        <c:dLbl>
          <c:idx val="0"/>
          <c:layout>
            <c:manualLayout>
              <c:x val="3.0528556712688195E-2"/>
              <c:y val="3.9480552257383601E-3"/>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730603"/>
          </a:solidFill>
          <a:ln w="19050">
            <a:noFill/>
          </a:ln>
          <a:effectLst/>
        </c:spPr>
        <c:dLbl>
          <c:idx val="0"/>
          <c:layout>
            <c:manualLayout>
              <c:x val="-2.5587064330421103E-2"/>
              <c:y val="-7.0248194609353045E-3"/>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310201"/>
          </a:solidFill>
          <a:ln w="19050">
            <a:noFill/>
          </a:ln>
          <a:effectLst/>
        </c:spPr>
        <c:dLbl>
          <c:idx val="0"/>
          <c:layout>
            <c:manualLayout>
              <c:x val="8.6650390734212518E-2"/>
              <c:y val="-2.0487670572849448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Pivot_Tables!$AI$7</c:f>
              <c:strCache>
                <c:ptCount val="1"/>
                <c:pt idx="0">
                  <c:v>Total</c:v>
                </c:pt>
              </c:strCache>
            </c:strRef>
          </c:tx>
          <c:spPr>
            <a:ln>
              <a:noFill/>
            </a:ln>
          </c:spPr>
          <c:dPt>
            <c:idx val="0"/>
            <c:bubble3D val="0"/>
            <c:spPr>
              <a:solidFill>
                <a:srgbClr val="9F0704"/>
              </a:solidFill>
              <a:ln w="19050">
                <a:noFill/>
              </a:ln>
              <a:effectLst/>
            </c:spPr>
            <c:extLst>
              <c:ext xmlns:c16="http://schemas.microsoft.com/office/drawing/2014/chart" uri="{C3380CC4-5D6E-409C-BE32-E72D297353CC}">
                <c16:uniqueId val="{00000008-946E-49B3-8608-3463600C6AC3}"/>
              </c:ext>
            </c:extLst>
          </c:dPt>
          <c:dPt>
            <c:idx val="1"/>
            <c:bubble3D val="0"/>
            <c:spPr>
              <a:solidFill>
                <a:srgbClr val="730603"/>
              </a:solidFill>
              <a:ln w="19050">
                <a:noFill/>
              </a:ln>
              <a:effectLst/>
            </c:spPr>
            <c:extLst>
              <c:ext xmlns:c16="http://schemas.microsoft.com/office/drawing/2014/chart" uri="{C3380CC4-5D6E-409C-BE32-E72D297353CC}">
                <c16:uniqueId val="{00000009-946E-49B3-8608-3463600C6AC3}"/>
              </c:ext>
            </c:extLst>
          </c:dPt>
          <c:dPt>
            <c:idx val="2"/>
            <c:bubble3D val="0"/>
            <c:spPr>
              <a:solidFill>
                <a:srgbClr val="310201"/>
              </a:solidFill>
              <a:ln w="19050">
                <a:noFill/>
              </a:ln>
              <a:effectLst/>
            </c:spPr>
            <c:extLst>
              <c:ext xmlns:c16="http://schemas.microsoft.com/office/drawing/2014/chart" uri="{C3380CC4-5D6E-409C-BE32-E72D297353CC}">
                <c16:uniqueId val="{0000000A-946E-49B3-8608-3463600C6AC3}"/>
              </c:ext>
            </c:extLst>
          </c:dPt>
          <c:dLbls>
            <c:dLbl>
              <c:idx val="0"/>
              <c:layout>
                <c:manualLayout>
                  <c:x val="3.0528556712688195E-2"/>
                  <c:y val="3.948055225738360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46E-49B3-8608-3463600C6AC3}"/>
                </c:ext>
              </c:extLst>
            </c:dLbl>
            <c:dLbl>
              <c:idx val="1"/>
              <c:layout>
                <c:manualLayout>
                  <c:x val="-2.5587064330421103E-2"/>
                  <c:y val="-7.024819460935304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46E-49B3-8608-3463600C6AC3}"/>
                </c:ext>
              </c:extLst>
            </c:dLbl>
            <c:dLbl>
              <c:idx val="2"/>
              <c:layout>
                <c:manualLayout>
                  <c:x val="8.6650390734212518E-2"/>
                  <c:y val="-2.04876705728494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46E-49B3-8608-3463600C6AC3}"/>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Pivot_Tables!$AH$8:$AH$11</c:f>
              <c:strCache>
                <c:ptCount val="3"/>
                <c:pt idx="0">
                  <c:v>متأخر</c:v>
                </c:pt>
                <c:pt idx="1">
                  <c:v>مبكر</c:v>
                </c:pt>
                <c:pt idx="2">
                  <c:v>في الموعد</c:v>
                </c:pt>
              </c:strCache>
            </c:strRef>
          </c:cat>
          <c:val>
            <c:numRef>
              <c:f>Pivot_Tables!$AI$8:$AI$11</c:f>
              <c:numCache>
                <c:formatCode>0%</c:formatCode>
                <c:ptCount val="3"/>
                <c:pt idx="0">
                  <c:v>0.6333333333333333</c:v>
                </c:pt>
                <c:pt idx="1">
                  <c:v>0.32500000000000001</c:v>
                </c:pt>
                <c:pt idx="2">
                  <c:v>4.1666666666666664E-2</c:v>
                </c:pt>
              </c:numCache>
            </c:numRef>
          </c:val>
          <c:extLst>
            <c:ext xmlns:c16="http://schemas.microsoft.com/office/drawing/2014/chart" uri="{C3380CC4-5D6E-409C-BE32-E72D297353CC}">
              <c16:uniqueId val="{00000006-946E-49B3-8608-3463600C6A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[MISUO_Sales_Dashboard.xlsx]Pivot_Tables!PivotTable13</c:name>
    <c:fmtId val="10"/>
  </c:pivotSource>
  <c:chart>
    <c:title>
      <c:tx>
        <c:rich>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r>
              <a:rPr lang="en-US" sz="1200">
                <a:solidFill>
                  <a:srgbClr val="DBDBDB"/>
                </a:solidFill>
              </a:rPr>
              <a:t>Delivery Status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8159776902887136E-2"/>
              <c:y val="-6.5833333333333327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31244531933509"/>
              <c:y val="0.10391987459900846"/>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350306211723534E-2"/>
              <c:y val="-1.3039515893846602E-3"/>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8159776902887136E-2"/>
              <c:y val="-6.5833333333333327E-2"/>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831244531933509"/>
              <c:y val="0.10391987459900846"/>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350306211723534E-2"/>
              <c:y val="-1.3039515893846602E-3"/>
            </c:manualLayout>
          </c:layout>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2.600925213144108E-2"/>
              <c:y val="-7.0471755865014293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7989472393332518E-2"/>
              <c:y val="8.132246334493525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4.8437345405667645E-2"/>
              <c:y val="-2.0965032200987256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600925213144108E-2"/>
              <c:y val="-7.0471755865014293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7989472393332518E-2"/>
              <c:y val="8.132246334493525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4.8437345405667645E-2"/>
              <c:y val="-2.0965032200987256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F0704"/>
          </a:solidFill>
          <a:ln w="19050">
            <a:noFill/>
          </a:ln>
          <a:effectLst/>
        </c:spPr>
        <c:dLbl>
          <c:idx val="0"/>
          <c:layout>
            <c:manualLayout>
              <c:x val="2.600925213144108E-2"/>
              <c:y val="-7.0471755865014293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730603"/>
          </a:solidFill>
          <a:ln w="19050">
            <a:noFill/>
          </a:ln>
          <a:effectLst/>
        </c:spPr>
        <c:dLbl>
          <c:idx val="0"/>
          <c:layout>
            <c:manualLayout>
              <c:x val="-8.7989472393332518E-2"/>
              <c:y val="8.1322463344935259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310201"/>
          </a:solidFill>
          <a:ln w="19050">
            <a:noFill/>
          </a:ln>
          <a:effectLst/>
        </c:spPr>
        <c:dLbl>
          <c:idx val="0"/>
          <c:layout>
            <c:manualLayout>
              <c:x val="9.4674177422648109E-2"/>
              <c:y val="-2.0965045020210474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F0704"/>
          </a:solidFill>
          <a:ln w="19050">
            <a:noFill/>
          </a:ln>
          <a:effectLst/>
        </c:spPr>
        <c:dLbl>
          <c:idx val="0"/>
          <c:layout>
            <c:manualLayout>
              <c:x val="7.4550895277214924E-2"/>
              <c:y val="-0.13982293734706128"/>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30603"/>
          </a:solidFill>
          <a:ln w="19050">
            <a:noFill/>
          </a:ln>
          <a:effectLst/>
        </c:spPr>
        <c:dLbl>
          <c:idx val="0"/>
          <c:layout>
            <c:manualLayout>
              <c:x val="-6.7284003032415204E-2"/>
              <c:y val="2.8904266124936517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310201"/>
          </a:solidFill>
          <a:ln w="19050">
            <a:noFill/>
          </a:ln>
          <a:effectLst/>
        </c:spPr>
        <c:dLbl>
          <c:idx val="0"/>
          <c:layout>
            <c:manualLayout>
              <c:x val="7.8693740115175576E-2"/>
              <c:y val="-1.6079920587284732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9F0704"/>
          </a:solidFill>
          <a:ln w="19050">
            <a:noFill/>
          </a:ln>
          <a:effectLst/>
        </c:spPr>
        <c:dLbl>
          <c:idx val="0"/>
          <c:layout>
            <c:manualLayout>
              <c:x val="7.4550895277214924E-2"/>
              <c:y val="-0.13982293734706128"/>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730603"/>
          </a:solidFill>
          <a:ln w="19050">
            <a:noFill/>
          </a:ln>
          <a:effectLst/>
        </c:spPr>
        <c:dLbl>
          <c:idx val="0"/>
          <c:layout>
            <c:manualLayout>
              <c:x val="-6.7284003032415204E-2"/>
              <c:y val="2.8904266124936517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310201"/>
          </a:solidFill>
          <a:ln w="19050">
            <a:noFill/>
          </a:ln>
          <a:effectLst/>
        </c:spPr>
        <c:dLbl>
          <c:idx val="0"/>
          <c:layout>
            <c:manualLayout>
              <c:x val="7.8693740115175576E-2"/>
              <c:y val="-1.6079920587284732E-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Pivot_Tables!$AI$16</c:f>
              <c:strCache>
                <c:ptCount val="1"/>
                <c:pt idx="0">
                  <c:v>Total</c:v>
                </c:pt>
              </c:strCache>
            </c:strRef>
          </c:tx>
          <c:spPr>
            <a:ln>
              <a:noFill/>
            </a:ln>
          </c:spPr>
          <c:dPt>
            <c:idx val="0"/>
            <c:bubble3D val="0"/>
            <c:spPr>
              <a:solidFill>
                <a:srgbClr val="9F0704"/>
              </a:solidFill>
              <a:ln w="19050">
                <a:noFill/>
              </a:ln>
              <a:effectLst/>
            </c:spPr>
            <c:extLst>
              <c:ext xmlns:c16="http://schemas.microsoft.com/office/drawing/2014/chart" uri="{C3380CC4-5D6E-409C-BE32-E72D297353CC}">
                <c16:uniqueId val="{00000008-0BD1-42AC-9E7A-2097C575DA0A}"/>
              </c:ext>
            </c:extLst>
          </c:dPt>
          <c:dPt>
            <c:idx val="1"/>
            <c:bubble3D val="0"/>
            <c:spPr>
              <a:solidFill>
                <a:srgbClr val="730603"/>
              </a:solidFill>
              <a:ln w="19050">
                <a:noFill/>
              </a:ln>
              <a:effectLst/>
            </c:spPr>
            <c:extLst>
              <c:ext xmlns:c16="http://schemas.microsoft.com/office/drawing/2014/chart" uri="{C3380CC4-5D6E-409C-BE32-E72D297353CC}">
                <c16:uniqueId val="{00000009-0BD1-42AC-9E7A-2097C575DA0A}"/>
              </c:ext>
            </c:extLst>
          </c:dPt>
          <c:dPt>
            <c:idx val="2"/>
            <c:bubble3D val="0"/>
            <c:spPr>
              <a:solidFill>
                <a:srgbClr val="310201"/>
              </a:solidFill>
              <a:ln w="19050">
                <a:noFill/>
              </a:ln>
              <a:effectLst/>
            </c:spPr>
            <c:extLst>
              <c:ext xmlns:c16="http://schemas.microsoft.com/office/drawing/2014/chart" uri="{C3380CC4-5D6E-409C-BE32-E72D297353CC}">
                <c16:uniqueId val="{0000000A-0BD1-42AC-9E7A-2097C575DA0A}"/>
              </c:ext>
            </c:extLst>
          </c:dPt>
          <c:dLbls>
            <c:dLbl>
              <c:idx val="0"/>
              <c:layout>
                <c:manualLayout>
                  <c:x val="7.4550895277214924E-2"/>
                  <c:y val="-0.1398229373470612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D1-42AC-9E7A-2097C575DA0A}"/>
                </c:ext>
              </c:extLst>
            </c:dLbl>
            <c:dLbl>
              <c:idx val="1"/>
              <c:layout>
                <c:manualLayout>
                  <c:x val="-6.7284003032415204E-2"/>
                  <c:y val="2.89042661249365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D1-42AC-9E7A-2097C575DA0A}"/>
                </c:ext>
              </c:extLst>
            </c:dLbl>
            <c:dLbl>
              <c:idx val="2"/>
              <c:layout>
                <c:manualLayout>
                  <c:x val="7.8693740115175576E-2"/>
                  <c:y val="-1.60799205872847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D1-42AC-9E7A-2097C575DA0A}"/>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Pivot_Tables!$AH$17:$AH$20</c:f>
              <c:strCache>
                <c:ptCount val="3"/>
                <c:pt idx="0">
                  <c:v>تم التسليم</c:v>
                </c:pt>
                <c:pt idx="1">
                  <c:v>فشل التسليم</c:v>
                </c:pt>
                <c:pt idx="2">
                  <c:v>مرتجع</c:v>
                </c:pt>
              </c:strCache>
            </c:strRef>
          </c:cat>
          <c:val>
            <c:numRef>
              <c:f>Pivot_Tables!$AI$17:$AI$20</c:f>
              <c:numCache>
                <c:formatCode>0%</c:formatCode>
                <c:ptCount val="3"/>
                <c:pt idx="0">
                  <c:v>0.83333333333333337</c:v>
                </c:pt>
                <c:pt idx="1">
                  <c:v>0.15833333333333333</c:v>
                </c:pt>
                <c:pt idx="2">
                  <c:v>8.3333333333333332E-3</c:v>
                </c:pt>
              </c:numCache>
            </c:numRef>
          </c:val>
          <c:extLst>
            <c:ext xmlns:c16="http://schemas.microsoft.com/office/drawing/2014/chart" uri="{C3380CC4-5D6E-409C-BE32-E72D297353CC}">
              <c16:uniqueId val="{00000006-0BD1-42AC-9E7A-2097C575DA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2540"/>
    </a:solidFill>
    <a:ln w="9525" cap="flat" cmpd="sng" algn="ctr">
      <a:noFill/>
      <a:round/>
    </a:ln>
    <a:effectLst/>
  </c:spPr>
  <c:txPr>
    <a:bodyPr/>
    <a:lstStyle/>
    <a:p>
      <a:pP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[MISUO_Sales_Dashboard.xlsx]Pivot_Tables!PivotTable11</c:name>
    <c:fmtId val="0"/>
  </c:pivotSource>
  <c:chart>
    <c:title>
      <c:tx>
        <c:rich>
          <a:bodyPr rot="0" spcFirstLastPara="1" vertOverflow="ellipsis" vert="horz" wrap="square" anchor="ctr" anchorCtr="1"/>
          <a:lstStyle/>
          <a:p>
            <a:pPr>
              <a:defRPr sz="1400" b="1" i="0" u="none" strike="noStrike" kern="1200" spc="0" baseline="0">
                <a:solidFill>
                  <a:srgbClr val="DBDBDB"/>
                </a:solidFill>
                <a:latin typeface="+mn-lt"/>
                <a:ea typeface="+mn-ea"/>
                <a:cs typeface="+mn-cs"/>
              </a:defRPr>
            </a:pPr>
            <a:r>
              <a:rPr lang="en-US"/>
              <a:t>Sales by Platform</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07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F0704"/>
          </a:solidFill>
          <a:ln>
            <a:noFill/>
          </a:ln>
          <a:effectLst/>
        </c:spPr>
        <c:dLbl>
          <c:idx val="0"/>
          <c:layout>
            <c:manualLayout>
              <c:x val="-1.50473764302413E-17"/>
              <c:y val="-2.1422089379029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F0704"/>
          </a:solidFill>
          <a:ln>
            <a:noFill/>
          </a:ln>
          <a:effectLst/>
        </c:spPr>
        <c:dLbl>
          <c:idx val="0"/>
          <c:layout>
            <c:manualLayout>
              <c:x val="0"/>
              <c:y val="2.1422089379029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F0704"/>
          </a:solidFill>
          <a:ln>
            <a:noFill/>
          </a:ln>
          <a:effectLst/>
        </c:spPr>
        <c:dLbl>
          <c:idx val="0"/>
          <c:layout>
            <c:manualLayout>
              <c:x val="-6.0189505720965201E-17"/>
              <c:y val="-2.14220893790292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F0704"/>
          </a:solidFill>
          <a:ln>
            <a:noFill/>
          </a:ln>
          <a:effectLst/>
        </c:spPr>
        <c:dLbl>
          <c:idx val="0"/>
          <c:layout>
            <c:manualLayout>
              <c:x val="0"/>
              <c:y val="-1.42813929193529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F0704"/>
          </a:solidFill>
          <a:ln>
            <a:noFill/>
          </a:ln>
          <a:effectLst/>
        </c:spPr>
        <c:dLbl>
          <c:idx val="0"/>
          <c:layout>
            <c:manualLayout>
              <c:x val="0"/>
              <c:y val="-2.1422089379029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F0704"/>
          </a:solidFill>
          <a:ln>
            <a:noFill/>
          </a:ln>
          <a:effectLst/>
        </c:spPr>
        <c:dLbl>
          <c:idx val="0"/>
          <c:layout>
            <c:manualLayout>
              <c:x val="0"/>
              <c:y val="2.1422089379029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F0704"/>
          </a:solidFill>
          <a:ln>
            <a:noFill/>
          </a:ln>
          <a:effectLst/>
        </c:spPr>
        <c:dLbl>
          <c:idx val="0"/>
          <c:layout>
            <c:manualLayout>
              <c:x val="0"/>
              <c:y val="2.14220893790293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F0704"/>
          </a:solidFill>
          <a:ln>
            <a:noFill/>
          </a:ln>
          <a:effectLst/>
        </c:spPr>
        <c:dLbl>
          <c:idx val="0"/>
          <c:layout>
            <c:manualLayout>
              <c:x val="-1.203790114419304E-16"/>
              <c:y val="2.1422089379029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Pivot_Tables!$X$7</c:f>
              <c:strCache>
                <c:ptCount val="1"/>
                <c:pt idx="0">
                  <c:v>Total</c:v>
                </c:pt>
              </c:strCache>
            </c:strRef>
          </c:tx>
          <c:spPr>
            <a:solidFill>
              <a:srgbClr val="9F0704"/>
            </a:solidFill>
            <a:ln>
              <a:noFill/>
            </a:ln>
            <a:effectLst/>
          </c:spPr>
          <c:invertIfNegative val="0"/>
          <c:dPt>
            <c:idx val="0"/>
            <c:invertIfNegative val="0"/>
            <c:bubble3D val="0"/>
            <c:spPr>
              <a:solidFill>
                <a:srgbClr val="9F0704"/>
              </a:solidFill>
              <a:ln>
                <a:noFill/>
              </a:ln>
              <a:effectLst/>
            </c:spPr>
            <c:extLst>
              <c:ext xmlns:c16="http://schemas.microsoft.com/office/drawing/2014/chart" uri="{C3380CC4-5D6E-409C-BE32-E72D297353CC}">
                <c16:uniqueId val="{00000003-1DBF-468B-8E0A-327A173634CA}"/>
              </c:ext>
            </c:extLst>
          </c:dPt>
          <c:dPt>
            <c:idx val="1"/>
            <c:invertIfNegative val="0"/>
            <c:bubble3D val="0"/>
            <c:spPr>
              <a:solidFill>
                <a:srgbClr val="9F0704"/>
              </a:solidFill>
              <a:ln>
                <a:noFill/>
              </a:ln>
              <a:effectLst/>
            </c:spPr>
            <c:extLst>
              <c:ext xmlns:c16="http://schemas.microsoft.com/office/drawing/2014/chart" uri="{C3380CC4-5D6E-409C-BE32-E72D297353CC}">
                <c16:uniqueId val="{00000004-1DBF-468B-8E0A-327A173634CA}"/>
              </c:ext>
            </c:extLst>
          </c:dPt>
          <c:dPt>
            <c:idx val="2"/>
            <c:invertIfNegative val="0"/>
            <c:bubble3D val="0"/>
            <c:spPr>
              <a:solidFill>
                <a:srgbClr val="9F0704"/>
              </a:solidFill>
              <a:ln>
                <a:noFill/>
              </a:ln>
              <a:effectLst/>
            </c:spPr>
            <c:extLst>
              <c:ext xmlns:c16="http://schemas.microsoft.com/office/drawing/2014/chart" uri="{C3380CC4-5D6E-409C-BE32-E72D297353CC}">
                <c16:uniqueId val="{00000005-1DBF-468B-8E0A-327A173634CA}"/>
              </c:ext>
            </c:extLst>
          </c:dPt>
          <c:dPt>
            <c:idx val="3"/>
            <c:invertIfNegative val="0"/>
            <c:bubble3D val="0"/>
            <c:spPr>
              <a:solidFill>
                <a:srgbClr val="9F0704"/>
              </a:solidFill>
              <a:ln>
                <a:noFill/>
              </a:ln>
              <a:effectLst/>
            </c:spPr>
            <c:extLst>
              <c:ext xmlns:c16="http://schemas.microsoft.com/office/drawing/2014/chart" uri="{C3380CC4-5D6E-409C-BE32-E72D297353CC}">
                <c16:uniqueId val="{00000006-1DBF-468B-8E0A-327A173634CA}"/>
              </c:ext>
            </c:extLst>
          </c:dPt>
          <c:dPt>
            <c:idx val="4"/>
            <c:invertIfNegative val="0"/>
            <c:bubble3D val="0"/>
            <c:spPr>
              <a:solidFill>
                <a:srgbClr val="9F0704"/>
              </a:solidFill>
              <a:ln>
                <a:noFill/>
              </a:ln>
              <a:effectLst/>
            </c:spPr>
            <c:extLst>
              <c:ext xmlns:c16="http://schemas.microsoft.com/office/drawing/2014/chart" uri="{C3380CC4-5D6E-409C-BE32-E72D297353CC}">
                <c16:uniqueId val="{00000007-1DBF-468B-8E0A-327A173634CA}"/>
              </c:ext>
            </c:extLst>
          </c:dPt>
          <c:dPt>
            <c:idx val="5"/>
            <c:invertIfNegative val="0"/>
            <c:bubble3D val="0"/>
            <c:spPr>
              <a:solidFill>
                <a:srgbClr val="9F0704"/>
              </a:solidFill>
              <a:ln>
                <a:noFill/>
              </a:ln>
              <a:effectLst/>
            </c:spPr>
            <c:extLst>
              <c:ext xmlns:c16="http://schemas.microsoft.com/office/drawing/2014/chart" uri="{C3380CC4-5D6E-409C-BE32-E72D297353CC}">
                <c16:uniqueId val="{00000008-1DBF-468B-8E0A-327A173634CA}"/>
              </c:ext>
            </c:extLst>
          </c:dPt>
          <c:dPt>
            <c:idx val="6"/>
            <c:invertIfNegative val="0"/>
            <c:bubble3D val="0"/>
            <c:spPr>
              <a:solidFill>
                <a:srgbClr val="9F0704"/>
              </a:solidFill>
              <a:ln>
                <a:noFill/>
              </a:ln>
              <a:effectLst/>
            </c:spPr>
            <c:extLst>
              <c:ext xmlns:c16="http://schemas.microsoft.com/office/drawing/2014/chart" uri="{C3380CC4-5D6E-409C-BE32-E72D297353CC}">
                <c16:uniqueId val="{00000009-1DBF-468B-8E0A-327A173634CA}"/>
              </c:ext>
            </c:extLst>
          </c:dPt>
          <c:dPt>
            <c:idx val="7"/>
            <c:invertIfNegative val="0"/>
            <c:bubble3D val="0"/>
            <c:spPr>
              <a:solidFill>
                <a:srgbClr val="9F0704"/>
              </a:solidFill>
              <a:ln>
                <a:noFill/>
              </a:ln>
              <a:effectLst/>
            </c:spPr>
            <c:extLst>
              <c:ext xmlns:c16="http://schemas.microsoft.com/office/drawing/2014/chart" uri="{C3380CC4-5D6E-409C-BE32-E72D297353CC}">
                <c16:uniqueId val="{0000000A-1DBF-468B-8E0A-327A173634CA}"/>
              </c:ext>
            </c:extLst>
          </c:dPt>
          <c:dLbls>
            <c:dLbl>
              <c:idx val="0"/>
              <c:layout>
                <c:manualLayout>
                  <c:x val="-1.50473764302413E-17"/>
                  <c:y val="-2.14220893790292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BF-468B-8E0A-327A173634CA}"/>
                </c:ext>
              </c:extLst>
            </c:dLbl>
            <c:dLbl>
              <c:idx val="1"/>
              <c:layout>
                <c:manualLayout>
                  <c:x val="0"/>
                  <c:y val="2.14220893790292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BF-468B-8E0A-327A173634CA}"/>
                </c:ext>
              </c:extLst>
            </c:dLbl>
            <c:dLbl>
              <c:idx val="2"/>
              <c:layout>
                <c:manualLayout>
                  <c:x val="-6.0189505720965201E-17"/>
                  <c:y val="-2.14220893790292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BF-468B-8E0A-327A173634CA}"/>
                </c:ext>
              </c:extLst>
            </c:dLbl>
            <c:dLbl>
              <c:idx val="3"/>
              <c:layout>
                <c:manualLayout>
                  <c:x val="0"/>
                  <c:y val="-1.42813929193529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DBF-468B-8E0A-327A173634CA}"/>
                </c:ext>
              </c:extLst>
            </c:dLbl>
            <c:dLbl>
              <c:idx val="4"/>
              <c:layout>
                <c:manualLayout>
                  <c:x val="0"/>
                  <c:y val="-2.14220893790292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BF-468B-8E0A-327A173634CA}"/>
                </c:ext>
              </c:extLst>
            </c:dLbl>
            <c:dLbl>
              <c:idx val="5"/>
              <c:layout>
                <c:manualLayout>
                  <c:x val="0"/>
                  <c:y val="2.14220893790292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DBF-468B-8E0A-327A173634CA}"/>
                </c:ext>
              </c:extLst>
            </c:dLbl>
            <c:dLbl>
              <c:idx val="6"/>
              <c:layout>
                <c:manualLayout>
                  <c:x val="0"/>
                  <c:y val="2.14220893790293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DBF-468B-8E0A-327A173634CA}"/>
                </c:ext>
              </c:extLst>
            </c:dLbl>
            <c:dLbl>
              <c:idx val="7"/>
              <c:layout>
                <c:manualLayout>
                  <c:x val="-1.203790114419304E-16"/>
                  <c:y val="2.14220893790292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DBF-468B-8E0A-327A173634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Pivot_Tables!$W$8:$W$16</c:f>
              <c:strCache>
                <c:ptCount val="8"/>
                <c:pt idx="0">
                  <c:v>هومزمارت</c:v>
                </c:pt>
                <c:pt idx="1">
                  <c:v>شيك هومز </c:v>
                </c:pt>
                <c:pt idx="2">
                  <c:v>تاكى</c:v>
                </c:pt>
                <c:pt idx="3">
                  <c:v>اوسكار راتن </c:v>
                </c:pt>
                <c:pt idx="4">
                  <c:v>السويس</c:v>
                </c:pt>
                <c:pt idx="5">
                  <c:v>فيسبوك</c:v>
                </c:pt>
                <c:pt idx="6">
                  <c:v>منزلى </c:v>
                </c:pt>
                <c:pt idx="7">
                  <c:v>كيمت </c:v>
                </c:pt>
              </c:strCache>
            </c:strRef>
          </c:cat>
          <c:val>
            <c:numRef>
              <c:f>Pivot_Tables!$X$8:$X$16</c:f>
              <c:numCache>
                <c:formatCode>_(* #,##0_);_(* \(#,##0\);_(* "-"??_);_(@_)</c:formatCode>
                <c:ptCount val="8"/>
                <c:pt idx="0">
                  <c:v>869639</c:v>
                </c:pt>
                <c:pt idx="1">
                  <c:v>181962.5</c:v>
                </c:pt>
                <c:pt idx="2">
                  <c:v>70650</c:v>
                </c:pt>
                <c:pt idx="3">
                  <c:v>58031.91</c:v>
                </c:pt>
                <c:pt idx="4">
                  <c:v>29708</c:v>
                </c:pt>
                <c:pt idx="5">
                  <c:v>27250</c:v>
                </c:pt>
                <c:pt idx="6">
                  <c:v>9655</c:v>
                </c:pt>
                <c:pt idx="7">
                  <c:v>7396</c:v>
                </c:pt>
              </c:numCache>
            </c:numRef>
          </c:val>
          <c:extLst>
            <c:ext xmlns:c16="http://schemas.microsoft.com/office/drawing/2014/chart" uri="{C3380CC4-5D6E-409C-BE32-E72D297353CC}">
              <c16:uniqueId val="{00000001-1DBF-468B-8E0A-327A173634CA}"/>
            </c:ext>
          </c:extLst>
        </c:ser>
        <c:dLbls>
          <c:dLblPos val="outEnd"/>
          <c:showLegendKey val="0"/>
          <c:showVal val="1"/>
          <c:showCatName val="0"/>
          <c:showSerName val="0"/>
          <c:showPercent val="0"/>
          <c:showBubbleSize val="0"/>
        </c:dLbls>
        <c:gapWidth val="219"/>
        <c:overlap val="-27"/>
        <c:axId val="97866288"/>
        <c:axId val="97866768"/>
      </c:barChart>
      <c:catAx>
        <c:axId val="9786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DBDBDB"/>
                </a:solidFill>
                <a:latin typeface="+mn-lt"/>
                <a:ea typeface="+mn-ea"/>
                <a:cs typeface="+mn-cs"/>
              </a:defRPr>
            </a:pPr>
            <a:endParaRPr lang="en-US"/>
          </a:p>
        </c:txPr>
        <c:crossAx val="97866768"/>
        <c:crosses val="autoZero"/>
        <c:auto val="1"/>
        <c:lblAlgn val="ctr"/>
        <c:lblOffset val="100"/>
        <c:noMultiLvlLbl val="0"/>
      </c:catAx>
      <c:valAx>
        <c:axId val="97866768"/>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DBDBDB"/>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DBDBDB"/>
                  </a:solidFill>
                  <a:latin typeface="+mn-lt"/>
                  <a:ea typeface="+mn-ea"/>
                  <a:cs typeface="+mn-cs"/>
                </a:defRPr>
              </a:pPr>
              <a:endParaRPr lang="en-US"/>
            </a:p>
          </c:txPr>
        </c:title>
        <c:numFmt formatCode="_(* #,##0_);_(* \(#,##0\);_(* &quot;-&quot;??_);_(@_)" sourceLinked="1"/>
        <c:majorTickMark val="none"/>
        <c:minorTickMark val="none"/>
        <c:tickLblPos val="nextTo"/>
        <c:crossAx val="9786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b="1">
          <a:solidFill>
            <a:srgbClr val="DBDBD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[MISUO_Sales_Dashboard.xlsx]Pivot_Tables!PivotTable15</c:name>
    <c:fmtId val="0"/>
  </c:pivotSource>
  <c:chart>
    <c:title>
      <c:tx>
        <c:rich>
          <a:bodyPr rot="0" spcFirstLastPara="1" vertOverflow="ellipsis" vert="horz" wrap="square" anchor="ctr" anchorCtr="1"/>
          <a:lstStyle/>
          <a:p>
            <a:pPr>
              <a:defRPr sz="1400" b="1" i="0" u="none" strike="noStrike" kern="1200" spc="0" baseline="0">
                <a:solidFill>
                  <a:srgbClr val="DBDBDB"/>
                </a:solidFill>
                <a:latin typeface="+mn-lt"/>
                <a:ea typeface="+mn-ea"/>
                <a:cs typeface="+mn-cs"/>
              </a:defRPr>
            </a:pPr>
            <a:r>
              <a:rPr lang="en-US"/>
              <a:t>Orders by Area</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F07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07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Pivot_Tables!$AW$7</c:f>
              <c:strCache>
                <c:ptCount val="1"/>
                <c:pt idx="0">
                  <c:v>Total</c:v>
                </c:pt>
              </c:strCache>
            </c:strRef>
          </c:tx>
          <c:spPr>
            <a:solidFill>
              <a:srgbClr val="9F07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Pivot_Tables!$AV$8:$AV$17</c:f>
              <c:strCache>
                <c:ptCount val="9"/>
                <c:pt idx="0">
                  <c:v>القاهرة</c:v>
                </c:pt>
                <c:pt idx="1">
                  <c:v>الجيزة</c:v>
                </c:pt>
                <c:pt idx="2">
                  <c:v>غير محدد</c:v>
                </c:pt>
                <c:pt idx="3">
                  <c:v>السويس</c:v>
                </c:pt>
                <c:pt idx="4">
                  <c:v>الإسكندرية</c:v>
                </c:pt>
                <c:pt idx="5">
                  <c:v>القليوبية</c:v>
                </c:pt>
                <c:pt idx="6">
                  <c:v>الغردقة</c:v>
                </c:pt>
                <c:pt idx="7">
                  <c:v>الساحل الشمالى</c:v>
                </c:pt>
                <c:pt idx="8">
                  <c:v>اسيوط </c:v>
                </c:pt>
              </c:strCache>
            </c:strRef>
          </c:cat>
          <c:val>
            <c:numRef>
              <c:f>Pivot_Tables!$AW$8:$AW$17</c:f>
              <c:numCache>
                <c:formatCode>General</c:formatCode>
                <c:ptCount val="9"/>
                <c:pt idx="0">
                  <c:v>56</c:v>
                </c:pt>
                <c:pt idx="1">
                  <c:v>28</c:v>
                </c:pt>
                <c:pt idx="2">
                  <c:v>13</c:v>
                </c:pt>
                <c:pt idx="3">
                  <c:v>8</c:v>
                </c:pt>
                <c:pt idx="4">
                  <c:v>5</c:v>
                </c:pt>
                <c:pt idx="5">
                  <c:v>4</c:v>
                </c:pt>
                <c:pt idx="6">
                  <c:v>3</c:v>
                </c:pt>
                <c:pt idx="7">
                  <c:v>2</c:v>
                </c:pt>
                <c:pt idx="8">
                  <c:v>1</c:v>
                </c:pt>
              </c:numCache>
            </c:numRef>
          </c:val>
          <c:extLst>
            <c:ext xmlns:c16="http://schemas.microsoft.com/office/drawing/2014/chart" uri="{C3380CC4-5D6E-409C-BE32-E72D297353CC}">
              <c16:uniqueId val="{00000003-C7BB-4C9F-85A2-262068C19D85}"/>
            </c:ext>
          </c:extLst>
        </c:ser>
        <c:dLbls>
          <c:dLblPos val="outEnd"/>
          <c:showLegendKey val="0"/>
          <c:showVal val="1"/>
          <c:showCatName val="0"/>
          <c:showSerName val="0"/>
          <c:showPercent val="0"/>
          <c:showBubbleSize val="0"/>
        </c:dLbls>
        <c:gapWidth val="182"/>
        <c:axId val="1333117440"/>
        <c:axId val="1333128480"/>
      </c:barChart>
      <c:catAx>
        <c:axId val="133311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DBDBDB"/>
                </a:solidFill>
                <a:latin typeface="+mn-lt"/>
                <a:ea typeface="+mn-ea"/>
                <a:cs typeface="+mn-cs"/>
              </a:defRPr>
            </a:pPr>
            <a:endParaRPr lang="en-US"/>
          </a:p>
        </c:txPr>
        <c:crossAx val="1333128480"/>
        <c:crosses val="autoZero"/>
        <c:auto val="1"/>
        <c:lblAlgn val="ctr"/>
        <c:lblOffset val="100"/>
        <c:noMultiLvlLbl val="0"/>
      </c:catAx>
      <c:valAx>
        <c:axId val="133312848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rgbClr val="DBDBDB"/>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DBDBDB"/>
                  </a:solidFill>
                  <a:latin typeface="+mn-lt"/>
                  <a:ea typeface="+mn-ea"/>
                  <a:cs typeface="+mn-cs"/>
                </a:defRPr>
              </a:pPr>
              <a:endParaRPr lang="en-US"/>
            </a:p>
          </c:txPr>
        </c:title>
        <c:numFmt formatCode="General" sourceLinked="1"/>
        <c:majorTickMark val="none"/>
        <c:minorTickMark val="none"/>
        <c:tickLblPos val="nextTo"/>
        <c:crossAx val="13331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b="1">
          <a:solidFill>
            <a:srgbClr val="DBDBD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[MISUO_Sales_Dashboard.xlsx]Pivot_Tables!PivotTable14</c:name>
    <c:fmtId val="0"/>
  </c:pivotSource>
  <c:chart>
    <c:title>
      <c:tx>
        <c:rich>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r>
              <a:rPr lang="en-US"/>
              <a:t>Sales by Area</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F07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Pivot_Tables!$AT$7</c:f>
              <c:strCache>
                <c:ptCount val="1"/>
                <c:pt idx="0">
                  <c:v>Total</c:v>
                </c:pt>
              </c:strCache>
            </c:strRef>
          </c:tx>
          <c:spPr>
            <a:solidFill>
              <a:srgbClr val="9F07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Pivot_Tables!$AS$8:$AS$17</c:f>
              <c:strCache>
                <c:ptCount val="9"/>
                <c:pt idx="0">
                  <c:v>القاهرة</c:v>
                </c:pt>
                <c:pt idx="1">
                  <c:v>الجيزة</c:v>
                </c:pt>
                <c:pt idx="2">
                  <c:v>غير محدد</c:v>
                </c:pt>
                <c:pt idx="3">
                  <c:v>السويس</c:v>
                </c:pt>
                <c:pt idx="4">
                  <c:v>الإسكندرية</c:v>
                </c:pt>
                <c:pt idx="5">
                  <c:v>الغردقة</c:v>
                </c:pt>
                <c:pt idx="6">
                  <c:v>القليوبية</c:v>
                </c:pt>
                <c:pt idx="7">
                  <c:v>الساحل الشمالى</c:v>
                </c:pt>
                <c:pt idx="8">
                  <c:v>اسيوط </c:v>
                </c:pt>
              </c:strCache>
            </c:strRef>
          </c:cat>
          <c:val>
            <c:numRef>
              <c:f>Pivot_Tables!$AT$8:$AT$17</c:f>
              <c:numCache>
                <c:formatCode>_(* #,##0_);_(* \(#,##0\);_(* "-"??_);_(@_)</c:formatCode>
                <c:ptCount val="9"/>
                <c:pt idx="0">
                  <c:v>601627.90999999992</c:v>
                </c:pt>
                <c:pt idx="1">
                  <c:v>272815.5</c:v>
                </c:pt>
                <c:pt idx="2">
                  <c:v>148468</c:v>
                </c:pt>
                <c:pt idx="3">
                  <c:v>69084</c:v>
                </c:pt>
                <c:pt idx="4">
                  <c:v>54762</c:v>
                </c:pt>
                <c:pt idx="5">
                  <c:v>41640</c:v>
                </c:pt>
                <c:pt idx="6">
                  <c:v>28608</c:v>
                </c:pt>
                <c:pt idx="7">
                  <c:v>24288</c:v>
                </c:pt>
                <c:pt idx="8">
                  <c:v>12999</c:v>
                </c:pt>
              </c:numCache>
            </c:numRef>
          </c:val>
          <c:extLst>
            <c:ext xmlns:c16="http://schemas.microsoft.com/office/drawing/2014/chart" uri="{C3380CC4-5D6E-409C-BE32-E72D297353CC}">
              <c16:uniqueId val="{00000001-5216-4266-8CF5-1EF8CB3A7EE8}"/>
            </c:ext>
          </c:extLst>
        </c:ser>
        <c:dLbls>
          <c:dLblPos val="outEnd"/>
          <c:showLegendKey val="0"/>
          <c:showVal val="1"/>
          <c:showCatName val="0"/>
          <c:showSerName val="0"/>
          <c:showPercent val="0"/>
          <c:showBubbleSize val="0"/>
        </c:dLbls>
        <c:gapWidth val="182"/>
        <c:axId val="1333144800"/>
        <c:axId val="1333140960"/>
      </c:barChart>
      <c:catAx>
        <c:axId val="133314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crossAx val="1333140960"/>
        <c:crosses val="autoZero"/>
        <c:auto val="1"/>
        <c:lblAlgn val="ctr"/>
        <c:lblOffset val="100"/>
        <c:noMultiLvlLbl val="0"/>
      </c:catAx>
      <c:valAx>
        <c:axId val="1333140960"/>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title>
        <c:numFmt formatCode="_(* #,##0_);_(* \(#,##0\);_(* &quot;-&quot;??_);_(@_)" sourceLinked="1"/>
        <c:majorTickMark val="none"/>
        <c:minorTickMark val="none"/>
        <c:tickLblPos val="nextTo"/>
        <c:crossAx val="133314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lang="en-US" sz="1000" b="1" i="0" u="none" strike="noStrike" kern="1200" baseline="0">
          <a:solidFill>
            <a:srgbClr val="DBDBDB"/>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[MISUO_Sales_Dashboard.xlsx]Pivot_Tables!PivotTable16</c:name>
    <c:fmtId val="0"/>
  </c:pivotSource>
  <c:chart>
    <c:title>
      <c:tx>
        <c:rich>
          <a:bodyPr rot="0" spcFirstLastPara="1" vertOverflow="ellipsis" vert="horz" wrap="square" anchor="ctr" anchorCtr="1"/>
          <a:lstStyle/>
          <a:p>
            <a:pPr>
              <a:defRPr sz="1400" b="1" i="0" u="none" strike="noStrike" kern="1200" spc="0" baseline="0">
                <a:solidFill>
                  <a:srgbClr val="DBDBDB"/>
                </a:solidFill>
                <a:latin typeface="+mn-lt"/>
                <a:ea typeface="+mn-ea"/>
                <a:cs typeface="+mn-cs"/>
              </a:defRPr>
            </a:pPr>
            <a:r>
              <a:rPr lang="en-US"/>
              <a:t>MISUO Clients Overview</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7230971128608925E-2"/>
              <c:y val="1.9914698162729658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4512248468941383E-3"/>
              <c:y val="-4.470581802274716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7230971128608925E-2"/>
              <c:y val="1.9914698162729658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4512248468941383E-3"/>
              <c:y val="-4.470581802274716E-2"/>
            </c:manualLayout>
          </c:layout>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9635766389262485E-2"/>
              <c:y val="-3.7222567878126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6375801998810091E-2"/>
              <c:y val="1.1491060695611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9635766389262485E-2"/>
              <c:y val="-3.7222567878126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2.6375801998810091E-2"/>
              <c:y val="1.1491060695611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F0704"/>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F0704"/>
          </a:solidFill>
          <a:ln w="19050">
            <a:noFill/>
          </a:ln>
          <a:effectLst/>
        </c:spPr>
        <c:dLbl>
          <c:idx val="0"/>
          <c:layout>
            <c:manualLayout>
              <c:x val="3.9300668279264261E-2"/>
              <c:y val="-5.82360015720768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30603"/>
          </a:solidFill>
          <a:ln w="19050">
            <a:noFill/>
          </a:ln>
          <a:effectLst/>
        </c:spPr>
        <c:dLbl>
          <c:idx val="0"/>
          <c:layout>
            <c:manualLayout>
              <c:x val="-1.3476099147608519E-2"/>
              <c:y val="1.79102060736368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Pivot_Tables!$BE$7</c:f>
              <c:strCache>
                <c:ptCount val="1"/>
                <c:pt idx="0">
                  <c:v>Total</c:v>
                </c:pt>
              </c:strCache>
            </c:strRef>
          </c:tx>
          <c:spPr>
            <a:solidFill>
              <a:srgbClr val="9F0704"/>
            </a:solidFill>
            <a:ln>
              <a:noFill/>
            </a:ln>
          </c:spPr>
          <c:dPt>
            <c:idx val="0"/>
            <c:bubble3D val="0"/>
            <c:spPr>
              <a:solidFill>
                <a:srgbClr val="9F0704"/>
              </a:solidFill>
              <a:ln w="19050">
                <a:noFill/>
              </a:ln>
              <a:effectLst/>
            </c:spPr>
            <c:extLst>
              <c:ext xmlns:c16="http://schemas.microsoft.com/office/drawing/2014/chart" uri="{C3380CC4-5D6E-409C-BE32-E72D297353CC}">
                <c16:uniqueId val="{00000008-9555-471D-AD6B-97E159F541CE}"/>
              </c:ext>
            </c:extLst>
          </c:dPt>
          <c:dPt>
            <c:idx val="1"/>
            <c:bubble3D val="0"/>
            <c:spPr>
              <a:solidFill>
                <a:srgbClr val="730603"/>
              </a:solidFill>
              <a:ln w="19050">
                <a:noFill/>
              </a:ln>
              <a:effectLst/>
            </c:spPr>
            <c:extLst>
              <c:ext xmlns:c16="http://schemas.microsoft.com/office/drawing/2014/chart" uri="{C3380CC4-5D6E-409C-BE32-E72D297353CC}">
                <c16:uniqueId val="{00000007-9555-471D-AD6B-97E159F541CE}"/>
              </c:ext>
            </c:extLst>
          </c:dPt>
          <c:dLbls>
            <c:dLbl>
              <c:idx val="0"/>
              <c:layout>
                <c:manualLayout>
                  <c:x val="3.9300668279264261E-2"/>
                  <c:y val="-5.82360015720768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555-471D-AD6B-97E159F541CE}"/>
                </c:ext>
              </c:extLst>
            </c:dLbl>
            <c:dLbl>
              <c:idx val="1"/>
              <c:layout>
                <c:manualLayout>
                  <c:x val="-1.3476099147608519E-2"/>
                  <c:y val="1.79102060736368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55-471D-AD6B-97E159F541C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Pivot_Tables!$BD$8:$BD$10</c:f>
              <c:strCache>
                <c:ptCount val="2"/>
                <c:pt idx="0">
                  <c:v>أفراد</c:v>
                </c:pt>
                <c:pt idx="1">
                  <c:v>شركات</c:v>
                </c:pt>
              </c:strCache>
            </c:strRef>
          </c:cat>
          <c:val>
            <c:numRef>
              <c:f>Pivot_Tables!$BE$8:$BE$10</c:f>
              <c:numCache>
                <c:formatCode>0%</c:formatCode>
                <c:ptCount val="2"/>
                <c:pt idx="0">
                  <c:v>0.7</c:v>
                </c:pt>
                <c:pt idx="1">
                  <c:v>0.3</c:v>
                </c:pt>
              </c:numCache>
            </c:numRef>
          </c:val>
          <c:extLst>
            <c:ext xmlns:c16="http://schemas.microsoft.com/office/drawing/2014/chart" uri="{C3380CC4-5D6E-409C-BE32-E72D297353CC}">
              <c16:uniqueId val="{00000005-9555-471D-AD6B-97E159F541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DBDB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b="1">
          <a:solidFill>
            <a:srgbClr val="DBDBDB"/>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[MISUO_Sales_Dashboard.xlsx]Pivot_Tables!PivotTable8</c:name>
    <c:fmtId val="17"/>
  </c:pivotSource>
  <c:chart>
    <c:title>
      <c:tx>
        <c:rich>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r>
              <a:rPr lang="en-US"/>
              <a:t>Product Color Distribution</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070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Pivot_Tables!$M$34</c:f>
              <c:strCache>
                <c:ptCount val="1"/>
                <c:pt idx="0">
                  <c:v>Total</c:v>
                </c:pt>
              </c:strCache>
            </c:strRef>
          </c:tx>
          <c:spPr>
            <a:solidFill>
              <a:srgbClr val="9F0704"/>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Pivot_Tables!$L$35:$L$44</c:f>
              <c:strCache>
                <c:ptCount val="9"/>
                <c:pt idx="0">
                  <c:v>اسود</c:v>
                </c:pt>
                <c:pt idx="1">
                  <c:v>ابيض</c:v>
                </c:pt>
                <c:pt idx="2">
                  <c:v>رمادي</c:v>
                </c:pt>
                <c:pt idx="3">
                  <c:v>ازرق</c:v>
                </c:pt>
                <c:pt idx="4">
                  <c:v>نبيتى </c:v>
                </c:pt>
                <c:pt idx="5">
                  <c:v>وردي</c:v>
                </c:pt>
                <c:pt idx="6">
                  <c:v>دهبي</c:v>
                </c:pt>
                <c:pt idx="7">
                  <c:v>بنفسجى</c:v>
                </c:pt>
                <c:pt idx="8">
                  <c:v>اسود وبنى</c:v>
                </c:pt>
              </c:strCache>
            </c:strRef>
          </c:cat>
          <c:val>
            <c:numRef>
              <c:f>Pivot_Tables!$M$35:$M$44</c:f>
              <c:numCache>
                <c:formatCode>General</c:formatCode>
                <c:ptCount val="9"/>
                <c:pt idx="0">
                  <c:v>42</c:v>
                </c:pt>
                <c:pt idx="1">
                  <c:v>31</c:v>
                </c:pt>
                <c:pt idx="2">
                  <c:v>7</c:v>
                </c:pt>
                <c:pt idx="3">
                  <c:v>2</c:v>
                </c:pt>
                <c:pt idx="4">
                  <c:v>2</c:v>
                </c:pt>
                <c:pt idx="5">
                  <c:v>2</c:v>
                </c:pt>
                <c:pt idx="6">
                  <c:v>2</c:v>
                </c:pt>
                <c:pt idx="7">
                  <c:v>2</c:v>
                </c:pt>
                <c:pt idx="8">
                  <c:v>1</c:v>
                </c:pt>
              </c:numCache>
            </c:numRef>
          </c:val>
          <c:extLst>
            <c:ext xmlns:c16="http://schemas.microsoft.com/office/drawing/2014/chart" uri="{C3380CC4-5D6E-409C-BE32-E72D297353CC}">
              <c16:uniqueId val="{00000000-67B0-4419-881C-4EE93BF98F08}"/>
            </c:ext>
          </c:extLst>
        </c:ser>
        <c:dLbls>
          <c:dLblPos val="outEnd"/>
          <c:showLegendKey val="0"/>
          <c:showVal val="1"/>
          <c:showCatName val="0"/>
          <c:showSerName val="0"/>
          <c:showPercent val="0"/>
          <c:showBubbleSize val="0"/>
        </c:dLbls>
        <c:gapWidth val="182"/>
        <c:axId val="1748063647"/>
        <c:axId val="1748064127"/>
      </c:barChart>
      <c:catAx>
        <c:axId val="174806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crossAx val="1748064127"/>
        <c:crosses val="autoZero"/>
        <c:auto val="1"/>
        <c:lblAlgn val="ctr"/>
        <c:lblOffset val="100"/>
        <c:noMultiLvlLbl val="0"/>
      </c:catAx>
      <c:valAx>
        <c:axId val="174806412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4806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lang="en-US" sz="1000" b="1" i="0" u="none" strike="noStrike" kern="1200" baseline="0">
          <a:solidFill>
            <a:srgbClr val="DBDBDB"/>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[MISUO_Sales_Dashboard.xlsx]Pivot_Tables!PivotTable7</c:name>
    <c:fmtId val="17"/>
  </c:pivotSource>
  <c:chart>
    <c:title>
      <c:tx>
        <c:rich>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r>
              <a:rPr lang="en-US"/>
              <a:t>Sales by Color</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070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Pivot_Tables!$M$7</c:f>
              <c:strCache>
                <c:ptCount val="1"/>
                <c:pt idx="0">
                  <c:v>Total</c:v>
                </c:pt>
              </c:strCache>
            </c:strRef>
          </c:tx>
          <c:spPr>
            <a:solidFill>
              <a:srgbClr val="9F0704"/>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Pivot_Tables!$L$8:$L$17</c:f>
              <c:strCache>
                <c:ptCount val="9"/>
                <c:pt idx="0">
                  <c:v>اسود</c:v>
                </c:pt>
                <c:pt idx="1">
                  <c:v>ابيض</c:v>
                </c:pt>
                <c:pt idx="2">
                  <c:v>رمادي</c:v>
                </c:pt>
                <c:pt idx="3">
                  <c:v>وردي</c:v>
                </c:pt>
                <c:pt idx="4">
                  <c:v>بنفسجى</c:v>
                </c:pt>
                <c:pt idx="5">
                  <c:v>نبيتى </c:v>
                </c:pt>
                <c:pt idx="6">
                  <c:v>ازرق</c:v>
                </c:pt>
                <c:pt idx="7">
                  <c:v>دهبي</c:v>
                </c:pt>
                <c:pt idx="8">
                  <c:v>اسود وبنى</c:v>
                </c:pt>
              </c:strCache>
            </c:strRef>
          </c:cat>
          <c:val>
            <c:numRef>
              <c:f>Pivot_Tables!$M$8:$M$17</c:f>
              <c:numCache>
                <c:formatCode>_(* #,##0_);_(* \(#,##0\);_(* "-"??_);_(@_)</c:formatCode>
                <c:ptCount val="9"/>
                <c:pt idx="0">
                  <c:v>480602</c:v>
                </c:pt>
                <c:pt idx="1">
                  <c:v>296821</c:v>
                </c:pt>
                <c:pt idx="2">
                  <c:v>82208</c:v>
                </c:pt>
                <c:pt idx="3">
                  <c:v>25927</c:v>
                </c:pt>
                <c:pt idx="4">
                  <c:v>25244</c:v>
                </c:pt>
                <c:pt idx="5">
                  <c:v>20085</c:v>
                </c:pt>
                <c:pt idx="6">
                  <c:v>18316</c:v>
                </c:pt>
                <c:pt idx="7">
                  <c:v>15328</c:v>
                </c:pt>
                <c:pt idx="8">
                  <c:v>6250</c:v>
                </c:pt>
              </c:numCache>
            </c:numRef>
          </c:val>
          <c:extLst>
            <c:ext xmlns:c16="http://schemas.microsoft.com/office/drawing/2014/chart" uri="{C3380CC4-5D6E-409C-BE32-E72D297353CC}">
              <c16:uniqueId val="{00000000-F66B-4062-AF82-D56F5FC51C43}"/>
            </c:ext>
          </c:extLst>
        </c:ser>
        <c:dLbls>
          <c:dLblPos val="outEnd"/>
          <c:showLegendKey val="0"/>
          <c:showVal val="1"/>
          <c:showCatName val="0"/>
          <c:showSerName val="0"/>
          <c:showPercent val="0"/>
          <c:showBubbleSize val="0"/>
        </c:dLbls>
        <c:gapWidth val="182"/>
        <c:axId val="97867248"/>
        <c:axId val="97860528"/>
      </c:barChart>
      <c:catAx>
        <c:axId val="9786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crossAx val="97860528"/>
        <c:crosses val="autoZero"/>
        <c:auto val="1"/>
        <c:lblAlgn val="ctr"/>
        <c:lblOffset val="100"/>
        <c:noMultiLvlLbl val="0"/>
      </c:catAx>
      <c:valAx>
        <c:axId val="97860528"/>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9786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lang="en-US" sz="1000" b="1" i="0" u="none" strike="noStrike" kern="1200" baseline="0">
          <a:solidFill>
            <a:srgbClr val="DBDBDB"/>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[MISUO_Sales_Dashboard.xlsx]Pivot_Tables!PivotTable10</c:name>
    <c:fmtId val="18"/>
  </c:pivotSource>
  <c:chart>
    <c:title>
      <c:tx>
        <c:rich>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r>
              <a:rPr lang="en-US"/>
              <a:t>Product Distribution</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F070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Pivot_Tables!$M$49</c:f>
              <c:strCache>
                <c:ptCount val="1"/>
                <c:pt idx="0">
                  <c:v>Total</c:v>
                </c:pt>
              </c:strCache>
            </c:strRef>
          </c:tx>
          <c:spPr>
            <a:solidFill>
              <a:srgbClr val="9F0704"/>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Pivot_Tables!$L$50:$L$56</c:f>
              <c:strCache>
                <c:ptCount val="6"/>
                <c:pt idx="0">
                  <c:v>سرير</c:v>
                </c:pt>
                <c:pt idx="1">
                  <c:v>ترابيزة</c:v>
                </c:pt>
                <c:pt idx="2">
                  <c:v>كنبة</c:v>
                </c:pt>
                <c:pt idx="3">
                  <c:v>ركنة</c:v>
                </c:pt>
                <c:pt idx="4">
                  <c:v>فوتية</c:v>
                </c:pt>
                <c:pt idx="5">
                  <c:v>شيزلونج</c:v>
                </c:pt>
              </c:strCache>
            </c:strRef>
          </c:cat>
          <c:val>
            <c:numRef>
              <c:f>Pivot_Tables!$M$50:$M$56</c:f>
              <c:numCache>
                <c:formatCode>General</c:formatCode>
                <c:ptCount val="6"/>
                <c:pt idx="0">
                  <c:v>83</c:v>
                </c:pt>
                <c:pt idx="1">
                  <c:v>17</c:v>
                </c:pt>
                <c:pt idx="2">
                  <c:v>17</c:v>
                </c:pt>
                <c:pt idx="3">
                  <c:v>1</c:v>
                </c:pt>
                <c:pt idx="4">
                  <c:v>1</c:v>
                </c:pt>
                <c:pt idx="5">
                  <c:v>1</c:v>
                </c:pt>
              </c:numCache>
            </c:numRef>
          </c:val>
          <c:extLst>
            <c:ext xmlns:c16="http://schemas.microsoft.com/office/drawing/2014/chart" uri="{C3380CC4-5D6E-409C-BE32-E72D297353CC}">
              <c16:uniqueId val="{00000002-DC9B-4C25-8745-1990148BA7E7}"/>
            </c:ext>
          </c:extLst>
        </c:ser>
        <c:dLbls>
          <c:dLblPos val="outEnd"/>
          <c:showLegendKey val="0"/>
          <c:showVal val="1"/>
          <c:showCatName val="0"/>
          <c:showSerName val="0"/>
          <c:showPercent val="0"/>
          <c:showBubbleSize val="0"/>
        </c:dLbls>
        <c:gapWidth val="219"/>
        <c:overlap val="-27"/>
        <c:axId val="1748060287"/>
        <c:axId val="1748060767"/>
      </c:barChart>
      <c:catAx>
        <c:axId val="17480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crossAx val="1748060767"/>
        <c:crosses val="autoZero"/>
        <c:auto val="1"/>
        <c:lblAlgn val="ctr"/>
        <c:lblOffset val="100"/>
        <c:noMultiLvlLbl val="0"/>
      </c:catAx>
      <c:valAx>
        <c:axId val="1748060767"/>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title>
        <c:numFmt formatCode="General" sourceLinked="1"/>
        <c:majorTickMark val="none"/>
        <c:minorTickMark val="none"/>
        <c:tickLblPos val="nextTo"/>
        <c:crossAx val="174806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lang="en-US" sz="1000" b="1" i="0" u="none" strike="noStrike" kern="1200" baseline="0">
          <a:solidFill>
            <a:srgbClr val="DBDBDB"/>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[MISUO_Sales_Dashboard.xlsx]Pivot_Tables!PivotTable9</c:name>
    <c:fmtId val="0"/>
  </c:pivotSource>
  <c:chart>
    <c:title>
      <c:tx>
        <c:rich>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F07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F0704"/>
          </a:solidFill>
          <a:ln>
            <a:noFill/>
          </a:ln>
          <a:effectLst/>
        </c:spPr>
        <c:dLbl>
          <c:idx val="0"/>
          <c:layout>
            <c:manualLayout>
              <c:x val="1.7836710446697903E-17"/>
              <c:y val="3.1459452295889735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F0704"/>
          </a:solidFill>
          <a:ln>
            <a:noFill/>
          </a:ln>
          <a:effectLst/>
        </c:spPr>
        <c:dLbl>
          <c:idx val="0"/>
          <c:layout>
            <c:manualLayout>
              <c:x val="0"/>
              <c:y val="1.5729726147944816E-2"/>
            </c:manualLayout>
          </c:layout>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Pivot_Tables!$M$22</c:f>
              <c:strCache>
                <c:ptCount val="1"/>
                <c:pt idx="0">
                  <c:v>Total</c:v>
                </c:pt>
              </c:strCache>
            </c:strRef>
          </c:tx>
          <c:spPr>
            <a:solidFill>
              <a:srgbClr val="9F0704"/>
            </a:solidFill>
            <a:ln>
              <a:noFill/>
            </a:ln>
            <a:effectLst/>
          </c:spPr>
          <c:invertIfNegative val="0"/>
          <c:dLbls>
            <c:dLbl>
              <c:idx val="0"/>
              <c:layout>
                <c:manualLayout>
                  <c:x val="1.7836710446697903E-17"/>
                  <c:y val="3.1459452295889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3C-454C-9B7E-BF3B1CB83F12}"/>
                </c:ext>
              </c:extLst>
            </c:dLbl>
            <c:dLbl>
              <c:idx val="1"/>
              <c:layout>
                <c:manualLayout>
                  <c:x val="0"/>
                  <c:y val="1.57297261479448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3C-454C-9B7E-BF3B1CB83F12}"/>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DBDB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Pivot_Tables!$L$23:$L$29</c:f>
              <c:strCache>
                <c:ptCount val="6"/>
                <c:pt idx="0">
                  <c:v>سرير</c:v>
                </c:pt>
                <c:pt idx="1">
                  <c:v>كنبة</c:v>
                </c:pt>
                <c:pt idx="2">
                  <c:v>ترابيزة</c:v>
                </c:pt>
                <c:pt idx="3">
                  <c:v>ركنة</c:v>
                </c:pt>
                <c:pt idx="4">
                  <c:v>فوتية</c:v>
                </c:pt>
                <c:pt idx="5">
                  <c:v>شيزلونج</c:v>
                </c:pt>
              </c:strCache>
            </c:strRef>
          </c:cat>
          <c:val>
            <c:numRef>
              <c:f>Pivot_Tables!$M$23:$M$29</c:f>
              <c:numCache>
                <c:formatCode>_(* #,##0_);_(* \(#,##0\);_(* "-"??_);_(@_)</c:formatCode>
                <c:ptCount val="6"/>
                <c:pt idx="0">
                  <c:v>815231.41</c:v>
                </c:pt>
                <c:pt idx="1">
                  <c:v>251234</c:v>
                </c:pt>
                <c:pt idx="2">
                  <c:v>151027</c:v>
                </c:pt>
                <c:pt idx="3">
                  <c:v>22000</c:v>
                </c:pt>
                <c:pt idx="4">
                  <c:v>9300</c:v>
                </c:pt>
                <c:pt idx="5">
                  <c:v>5500</c:v>
                </c:pt>
              </c:numCache>
            </c:numRef>
          </c:val>
          <c:extLst>
            <c:ext xmlns:c16="http://schemas.microsoft.com/office/drawing/2014/chart" uri="{C3380CC4-5D6E-409C-BE32-E72D297353CC}">
              <c16:uniqueId val="{00000000-FC3C-454C-9B7E-BF3B1CB83F12}"/>
            </c:ext>
          </c:extLst>
        </c:ser>
        <c:dLbls>
          <c:dLblPos val="outEnd"/>
          <c:showLegendKey val="0"/>
          <c:showVal val="1"/>
          <c:showCatName val="0"/>
          <c:showSerName val="0"/>
          <c:showPercent val="0"/>
          <c:showBubbleSize val="0"/>
        </c:dLbls>
        <c:gapWidth val="219"/>
        <c:overlap val="-27"/>
        <c:axId val="1748039167"/>
        <c:axId val="1748041087"/>
      </c:barChart>
      <c:catAx>
        <c:axId val="174803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crossAx val="1748041087"/>
        <c:crosses val="autoZero"/>
        <c:auto val="1"/>
        <c:lblAlgn val="ctr"/>
        <c:lblOffset val="100"/>
        <c:noMultiLvlLbl val="0"/>
      </c:catAx>
      <c:valAx>
        <c:axId val="1748041087"/>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lang="en-US" sz="1000" b="1" i="0" u="none" strike="noStrike" kern="1200" baseline="0">
                  <a:solidFill>
                    <a:srgbClr val="DBDBDB"/>
                  </a:solidFill>
                  <a:latin typeface="+mn-lt"/>
                  <a:ea typeface="+mn-ea"/>
                  <a:cs typeface="+mn-cs"/>
                </a:defRPr>
              </a:pPr>
              <a:endParaRPr lang="en-US"/>
            </a:p>
          </c:txPr>
        </c:title>
        <c:numFmt formatCode="_(* #,##0_);_(* \(#,##0\);_(* &quot;-&quot;??_);_(@_)" sourceLinked="1"/>
        <c:majorTickMark val="none"/>
        <c:minorTickMark val="none"/>
        <c:tickLblPos val="nextTo"/>
        <c:crossAx val="174803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lang="en-US" sz="1000" b="1" i="0" u="none" strike="noStrike" kern="1200" baseline="0">
          <a:solidFill>
            <a:srgbClr val="DBDBDB"/>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[MISUO_Sales_Dashboard.xlsx]Pivot_Tables!PivotTable17</c:name>
    <c:fmtId val="0"/>
  </c:pivotSource>
  <c:chart>
    <c:title>
      <c:tx>
        <c:rich>
          <a:bodyPr rot="0" spcFirstLastPara="1" vertOverflow="ellipsis" vert="horz" wrap="square" anchor="ctr" anchorCtr="1"/>
          <a:lstStyle/>
          <a:p>
            <a:pPr>
              <a:defRPr lang="en-US" sz="1080" b="1" i="0" u="none" strike="noStrike" kern="1200" spc="0" baseline="0">
                <a:solidFill>
                  <a:srgbClr val="DBDBDB"/>
                </a:solidFill>
                <a:latin typeface="+mn-lt"/>
                <a:ea typeface="+mn-ea"/>
                <a:cs typeface="+mn-cs"/>
              </a:defRPr>
            </a:pPr>
            <a:r>
              <a:rPr lang="en-US"/>
              <a:t>Customer Experience Distribution</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rgbClr val="DBDBDB"/>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0783027121609799E-4"/>
              <c:y val="-3.1074657334499853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4242782152230974E-2"/>
              <c:y val="-9.200933216681248E-2"/>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1397200349956255E-2"/>
              <c:y val="7.2280548264800236E-3"/>
            </c:manualLayout>
          </c:layout>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F0704"/>
          </a:solidFill>
          <a:ln w="19050">
            <a:noFill/>
          </a:ln>
          <a:effectLst/>
        </c:spPr>
        <c:dLbl>
          <c:idx val="0"/>
          <c:layout>
            <c:manualLayout>
              <c:x val="-4.4879845089334349E-3"/>
              <c:y val="-9.2601640969619953E-2"/>
            </c:manualLayout>
          </c:layout>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30603"/>
          </a:solidFill>
          <a:ln w="19050">
            <a:noFill/>
          </a:ln>
          <a:effectLst/>
        </c:spPr>
        <c:dLbl>
          <c:idx val="0"/>
          <c:layout>
            <c:manualLayout>
              <c:x val="-8.7252765343879407E-2"/>
              <c:y val="-0.14143067432840573"/>
            </c:manualLayout>
          </c:layout>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10201"/>
          </a:solidFill>
          <a:ln w="19050">
            <a:noFill/>
          </a:ln>
          <a:effectLst/>
        </c:spPr>
        <c:dLbl>
          <c:idx val="0"/>
          <c:layout>
            <c:manualLayout>
              <c:x val="-6.5234667136686381E-2"/>
              <c:y val="7.4759548841728607E-3"/>
            </c:manualLayout>
          </c:layout>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Pivot_Tables!$BE$15</c:f>
              <c:strCache>
                <c:ptCount val="1"/>
                <c:pt idx="0">
                  <c:v>Total</c:v>
                </c:pt>
              </c:strCache>
            </c:strRef>
          </c:tx>
          <c:spPr>
            <a:ln>
              <a:noFill/>
            </a:ln>
          </c:spPr>
          <c:dPt>
            <c:idx val="0"/>
            <c:bubble3D val="0"/>
            <c:spPr>
              <a:solidFill>
                <a:srgbClr val="9F0704"/>
              </a:solidFill>
              <a:ln w="19050">
                <a:noFill/>
              </a:ln>
              <a:effectLst/>
            </c:spPr>
            <c:extLst>
              <c:ext xmlns:c16="http://schemas.microsoft.com/office/drawing/2014/chart" uri="{C3380CC4-5D6E-409C-BE32-E72D297353CC}">
                <c16:uniqueId val="{00000009-7B77-40A5-B2D0-BA215BD4FD4C}"/>
              </c:ext>
            </c:extLst>
          </c:dPt>
          <c:dPt>
            <c:idx val="1"/>
            <c:bubble3D val="0"/>
            <c:spPr>
              <a:solidFill>
                <a:srgbClr val="730603"/>
              </a:solidFill>
              <a:ln w="19050">
                <a:noFill/>
              </a:ln>
              <a:effectLst/>
            </c:spPr>
            <c:extLst>
              <c:ext xmlns:c16="http://schemas.microsoft.com/office/drawing/2014/chart" uri="{C3380CC4-5D6E-409C-BE32-E72D297353CC}">
                <c16:uniqueId val="{0000000A-7B77-40A5-B2D0-BA215BD4FD4C}"/>
              </c:ext>
            </c:extLst>
          </c:dPt>
          <c:dPt>
            <c:idx val="2"/>
            <c:bubble3D val="0"/>
            <c:spPr>
              <a:solidFill>
                <a:srgbClr val="310201"/>
              </a:solidFill>
              <a:ln w="19050">
                <a:noFill/>
              </a:ln>
              <a:effectLst/>
            </c:spPr>
            <c:extLst>
              <c:ext xmlns:c16="http://schemas.microsoft.com/office/drawing/2014/chart" uri="{C3380CC4-5D6E-409C-BE32-E72D297353CC}">
                <c16:uniqueId val="{0000000B-7B77-40A5-B2D0-BA215BD4FD4C}"/>
              </c:ext>
            </c:extLst>
          </c:dPt>
          <c:dLbls>
            <c:dLbl>
              <c:idx val="0"/>
              <c:layout>
                <c:manualLayout>
                  <c:x val="-4.4879845089334349E-3"/>
                  <c:y val="-9.260164096961995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B77-40A5-B2D0-BA215BD4FD4C}"/>
                </c:ext>
              </c:extLst>
            </c:dLbl>
            <c:dLbl>
              <c:idx val="1"/>
              <c:layout>
                <c:manualLayout>
                  <c:x val="-8.7252765343879407E-2"/>
                  <c:y val="-0.1414306743284057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B77-40A5-B2D0-BA215BD4FD4C}"/>
                </c:ext>
              </c:extLst>
            </c:dLbl>
            <c:dLbl>
              <c:idx val="2"/>
              <c:layout>
                <c:manualLayout>
                  <c:x val="-6.5234667136686381E-2"/>
                  <c:y val="7.475954884172860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B77-40A5-B2D0-BA215BD4FD4C}"/>
                </c:ext>
              </c:extLst>
            </c:dLbl>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Pivot_Tables!$BD$16:$BD$19</c:f>
              <c:strCache>
                <c:ptCount val="3"/>
                <c:pt idx="0">
                  <c:v>سيئة</c:v>
                </c:pt>
                <c:pt idx="1">
                  <c:v>ممتازة</c:v>
                </c:pt>
                <c:pt idx="2">
                  <c:v>مقبولة</c:v>
                </c:pt>
              </c:strCache>
            </c:strRef>
          </c:cat>
          <c:val>
            <c:numRef>
              <c:f>Pivot_Tables!$BE$16:$BE$19</c:f>
              <c:numCache>
                <c:formatCode>0.0%</c:formatCode>
                <c:ptCount val="3"/>
                <c:pt idx="0">
                  <c:v>0.47499999999999998</c:v>
                </c:pt>
                <c:pt idx="1">
                  <c:v>0.32500000000000001</c:v>
                </c:pt>
                <c:pt idx="2">
                  <c:v>0.2</c:v>
                </c:pt>
              </c:numCache>
            </c:numRef>
          </c:val>
          <c:extLst>
            <c:ext xmlns:c16="http://schemas.microsoft.com/office/drawing/2014/chart" uri="{C3380CC4-5D6E-409C-BE32-E72D297353CC}">
              <c16:uniqueId val="{00000008-7B77-40A5-B2D0-BA215BD4FD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rgbClr val="DBDB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9"/>
    </a:solidFill>
    <a:ln w="9525" cap="flat" cmpd="sng" algn="ctr">
      <a:noFill/>
      <a:round/>
    </a:ln>
    <a:effectLst/>
  </c:spPr>
  <c:txPr>
    <a:bodyPr/>
    <a:lstStyle/>
    <a:p>
      <a:pPr>
        <a:defRPr lang="en-US" sz="900" b="1" i="0" u="none" strike="noStrike" kern="1200" baseline="0">
          <a:solidFill>
            <a:srgbClr val="DBDBDB"/>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Overview!A1"/><Relationship Id="rId7" Type="http://schemas.openxmlformats.org/officeDocument/2006/relationships/chart" Target="../charts/chart2.xml"/><Relationship Id="rId2" Type="http://schemas.openxmlformats.org/officeDocument/2006/relationships/image" Target="../media/image1.jpeg"/><Relationship Id="rId1" Type="http://schemas.openxmlformats.org/officeDocument/2006/relationships/hyperlink" Target="#MISUO!A1"/><Relationship Id="rId6" Type="http://schemas.openxmlformats.org/officeDocument/2006/relationships/chart" Target="../charts/chart1.xml"/><Relationship Id="rId5" Type="http://schemas.openxmlformats.org/officeDocument/2006/relationships/hyperlink" Target="#'Sales &amp; Market Analysis'!A1"/><Relationship Id="rId4" Type="http://schemas.openxmlformats.org/officeDocument/2006/relationships/hyperlink" Target="#'Product &amp; Customer Analysis'!A1"/><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hyperlink" Target="#Overview!A1"/><Relationship Id="rId7" Type="http://schemas.openxmlformats.org/officeDocument/2006/relationships/chart" Target="../charts/chart6.xml"/><Relationship Id="rId2" Type="http://schemas.openxmlformats.org/officeDocument/2006/relationships/image" Target="../media/image2.jpeg"/><Relationship Id="rId1" Type="http://schemas.openxmlformats.org/officeDocument/2006/relationships/hyperlink" Target="#MISUO!A1"/><Relationship Id="rId6" Type="http://schemas.openxmlformats.org/officeDocument/2006/relationships/chart" Target="../charts/chart5.xml"/><Relationship Id="rId5" Type="http://schemas.openxmlformats.org/officeDocument/2006/relationships/hyperlink" Target="#'Sales &amp; Market Analysis'!A1"/><Relationship Id="rId4" Type="http://schemas.openxmlformats.org/officeDocument/2006/relationships/hyperlink" Target="#'Product &amp; Customer Analysis'!A1"/><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Overview!A1"/><Relationship Id="rId7" Type="http://schemas.openxmlformats.org/officeDocument/2006/relationships/chart" Target="../charts/chart10.xml"/><Relationship Id="rId2" Type="http://schemas.openxmlformats.org/officeDocument/2006/relationships/image" Target="../media/image3.jpeg"/><Relationship Id="rId1" Type="http://schemas.openxmlformats.org/officeDocument/2006/relationships/hyperlink" Target="#MISUO!A1"/><Relationship Id="rId6" Type="http://schemas.openxmlformats.org/officeDocument/2006/relationships/chart" Target="../charts/chart9.xml"/><Relationship Id="rId5" Type="http://schemas.openxmlformats.org/officeDocument/2006/relationships/hyperlink" Target="#'Sales &amp; Market Analysis'!A1"/><Relationship Id="rId10" Type="http://schemas.openxmlformats.org/officeDocument/2006/relationships/chart" Target="../charts/chart13.xml"/><Relationship Id="rId4" Type="http://schemas.openxmlformats.org/officeDocument/2006/relationships/hyperlink" Target="#'Product &amp; Customer Analysis'!A1"/><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11185</xdr:rowOff>
    </xdr:from>
    <xdr:to>
      <xdr:col>23</xdr:col>
      <xdr:colOff>99060</xdr:colOff>
      <xdr:row>4</xdr:row>
      <xdr:rowOff>4130</xdr:rowOff>
    </xdr:to>
    <xdr:grpSp>
      <xdr:nvGrpSpPr>
        <xdr:cNvPr id="12" name="Group 11">
          <a:extLst>
            <a:ext uri="{FF2B5EF4-FFF2-40B4-BE49-F238E27FC236}">
              <a16:creationId xmlns:a16="http://schemas.microsoft.com/office/drawing/2014/main" id="{BDA27060-2375-1E4C-9F71-3EC6FCAB017F}"/>
            </a:ext>
          </a:extLst>
        </xdr:cNvPr>
        <xdr:cNvGrpSpPr/>
      </xdr:nvGrpSpPr>
      <xdr:grpSpPr>
        <a:xfrm>
          <a:off x="30480" y="11185"/>
          <a:ext cx="14017845" cy="669414"/>
          <a:chOff x="30480" y="11185"/>
          <a:chExt cx="14089380" cy="655885"/>
        </a:xfrm>
      </xdr:grpSpPr>
      <xdr:grpSp>
        <xdr:nvGrpSpPr>
          <xdr:cNvPr id="10" name="Group 9">
            <a:extLst>
              <a:ext uri="{FF2B5EF4-FFF2-40B4-BE49-F238E27FC236}">
                <a16:creationId xmlns:a16="http://schemas.microsoft.com/office/drawing/2014/main" id="{71367364-6A59-34C9-2526-C264C1CD858A}"/>
              </a:ext>
            </a:extLst>
          </xdr:cNvPr>
          <xdr:cNvGrpSpPr/>
        </xdr:nvGrpSpPr>
        <xdr:grpSpPr>
          <a:xfrm>
            <a:off x="30480" y="11185"/>
            <a:ext cx="14089380" cy="655885"/>
            <a:chOff x="30480" y="11185"/>
            <a:chExt cx="14089380" cy="655885"/>
          </a:xfrm>
        </xdr:grpSpPr>
        <xdr:sp macro="" textlink="">
          <xdr:nvSpPr>
            <xdr:cNvPr id="2" name="Rectangle: Rounded Corners 1">
              <a:extLst>
                <a:ext uri="{FF2B5EF4-FFF2-40B4-BE49-F238E27FC236}">
                  <a16:creationId xmlns:a16="http://schemas.microsoft.com/office/drawing/2014/main" id="{880918F5-EB1A-D2CC-EB07-C1483E5229DD}"/>
                </a:ext>
              </a:extLst>
            </xdr:cNvPr>
            <xdr:cNvSpPr/>
          </xdr:nvSpPr>
          <xdr:spPr>
            <a:xfrm>
              <a:off x="30480" y="30480"/>
              <a:ext cx="14089380" cy="617220"/>
            </a:xfrm>
            <a:prstGeom prst="roundRect">
              <a:avLst>
                <a:gd name="adj" fmla="val 30247"/>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hlinkClick xmlns:r="http://schemas.openxmlformats.org/officeDocument/2006/relationships" r:id="rId1"/>
              <a:extLst>
                <a:ext uri="{FF2B5EF4-FFF2-40B4-BE49-F238E27FC236}">
                  <a16:creationId xmlns:a16="http://schemas.microsoft.com/office/drawing/2014/main" id="{5974E42A-4882-5865-EE31-C216937C9E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3737" y="41222"/>
              <a:ext cx="563880" cy="562827"/>
            </a:xfrm>
            <a:prstGeom prst="rect">
              <a:avLst/>
            </a:prstGeom>
            <a:ln>
              <a:noFill/>
            </a:ln>
          </xdr:spPr>
        </xdr:pic>
        <xdr:sp macro="" textlink="">
          <xdr:nvSpPr>
            <xdr:cNvPr id="6" name="TextBox 5">
              <a:extLst>
                <a:ext uri="{FF2B5EF4-FFF2-40B4-BE49-F238E27FC236}">
                  <a16:creationId xmlns:a16="http://schemas.microsoft.com/office/drawing/2014/main" id="{6961A6E3-807C-7360-8382-66FB2D511CEA}"/>
                </a:ext>
              </a:extLst>
            </xdr:cNvPr>
            <xdr:cNvSpPr txBox="1"/>
          </xdr:nvSpPr>
          <xdr:spPr>
            <a:xfrm>
              <a:off x="1060640" y="11185"/>
              <a:ext cx="492868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600">
                  <a:solidFill>
                    <a:srgbClr val="F2F2F2"/>
                  </a:solidFill>
                </a:rPr>
                <a:t>MISUO Sales Dashboard</a:t>
              </a:r>
              <a:endParaRPr lang="en-US" sz="1800">
                <a:solidFill>
                  <a:srgbClr val="F2F2F2"/>
                </a:solidFill>
              </a:endParaRPr>
            </a:p>
          </xdr:txBody>
        </xdr:sp>
      </xdr:grpSp>
      <xdr:grpSp>
        <xdr:nvGrpSpPr>
          <xdr:cNvPr id="11" name="Group 10">
            <a:extLst>
              <a:ext uri="{FF2B5EF4-FFF2-40B4-BE49-F238E27FC236}">
                <a16:creationId xmlns:a16="http://schemas.microsoft.com/office/drawing/2014/main" id="{AC131D6E-1686-8D0F-B198-AD8004AB2469}"/>
              </a:ext>
            </a:extLst>
          </xdr:cNvPr>
          <xdr:cNvGrpSpPr/>
        </xdr:nvGrpSpPr>
        <xdr:grpSpPr>
          <a:xfrm>
            <a:off x="7229517" y="152417"/>
            <a:ext cx="6718315" cy="365758"/>
            <a:chOff x="7229517" y="152417"/>
            <a:chExt cx="6718315" cy="365758"/>
          </a:xfrm>
        </xdr:grpSpPr>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4D04FD0E-2366-706B-9E3E-7E1281521A8E}"/>
                </a:ext>
              </a:extLst>
            </xdr:cNvPr>
            <xdr:cNvSpPr/>
          </xdr:nvSpPr>
          <xdr:spPr>
            <a:xfrm>
              <a:off x="7229517" y="152417"/>
              <a:ext cx="2139523" cy="365758"/>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lt1"/>
                  </a:solidFill>
                  <a:latin typeface="+mn-lt"/>
                  <a:ea typeface="+mn-ea"/>
                  <a:cs typeface="+mn-cs"/>
                </a:rPr>
                <a:t>Overview</a:t>
              </a:r>
            </a:p>
          </xdr:txBody>
        </xdr:sp>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B2853E07-96F2-4C3D-9060-4121C8662417}"/>
                </a:ext>
              </a:extLst>
            </xdr:cNvPr>
            <xdr:cNvSpPr/>
          </xdr:nvSpPr>
          <xdr:spPr>
            <a:xfrm>
              <a:off x="11804604" y="152417"/>
              <a:ext cx="2143228" cy="365758"/>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t>Product &amp; Customer Analysis</a:t>
              </a:r>
              <a:endParaRPr lang="en-US" sz="1200" b="1">
                <a:solidFill>
                  <a:schemeClr val="lt1"/>
                </a:solidFill>
                <a:latin typeface="+mn-lt"/>
                <a:ea typeface="+mn-ea"/>
                <a:cs typeface="+mn-cs"/>
              </a:endParaRPr>
            </a:p>
          </xdr:txBody>
        </xdr:sp>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C19767B3-0D08-4D95-9A59-F561EE34FE54}"/>
                </a:ext>
              </a:extLst>
            </xdr:cNvPr>
            <xdr:cNvSpPr/>
          </xdr:nvSpPr>
          <xdr:spPr>
            <a:xfrm>
              <a:off x="9514994" y="152417"/>
              <a:ext cx="2143655" cy="365756"/>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lt1"/>
                  </a:solidFill>
                  <a:latin typeface="+mn-lt"/>
                  <a:ea typeface="+mn-ea"/>
                  <a:cs typeface="+mn-cs"/>
                </a:rPr>
                <a:t>Sales &amp; Market Analysis</a:t>
              </a:r>
            </a:p>
          </xdr:txBody>
        </xdr:sp>
      </xdr:grpSp>
    </xdr:grpSp>
    <xdr:clientData/>
  </xdr:twoCellAnchor>
  <xdr:twoCellAnchor>
    <xdr:from>
      <xdr:col>0</xdr:col>
      <xdr:colOff>30480</xdr:colOff>
      <xdr:row>4</xdr:row>
      <xdr:rowOff>95005</xdr:rowOff>
    </xdr:from>
    <xdr:to>
      <xdr:col>2</xdr:col>
      <xdr:colOff>416350</xdr:colOff>
      <xdr:row>8</xdr:row>
      <xdr:rowOff>70701</xdr:rowOff>
    </xdr:to>
    <xdr:grpSp>
      <xdr:nvGrpSpPr>
        <xdr:cNvPr id="23" name="Group 22">
          <a:extLst>
            <a:ext uri="{FF2B5EF4-FFF2-40B4-BE49-F238E27FC236}">
              <a16:creationId xmlns:a16="http://schemas.microsoft.com/office/drawing/2014/main" id="{A3D07C87-417E-7A4D-4956-9F6D6C0B7D92}"/>
            </a:ext>
          </a:extLst>
        </xdr:cNvPr>
        <xdr:cNvGrpSpPr/>
      </xdr:nvGrpSpPr>
      <xdr:grpSpPr>
        <a:xfrm>
          <a:off x="30480" y="771474"/>
          <a:ext cx="1598850" cy="722145"/>
          <a:chOff x="30480" y="771474"/>
          <a:chExt cx="1598850" cy="722145"/>
        </a:xfrm>
      </xdr:grpSpPr>
      <xdr:sp macro="" textlink="">
        <xdr:nvSpPr>
          <xdr:cNvPr id="13" name="Rectangle: Rounded Corners 12">
            <a:extLst>
              <a:ext uri="{FF2B5EF4-FFF2-40B4-BE49-F238E27FC236}">
                <a16:creationId xmlns:a16="http://schemas.microsoft.com/office/drawing/2014/main" id="{F602E534-33DE-4093-AA4D-6D6079917B78}"/>
              </a:ext>
            </a:extLst>
          </xdr:cNvPr>
          <xdr:cNvSpPr/>
        </xdr:nvSpPr>
        <xdr:spPr>
          <a:xfrm>
            <a:off x="30480" y="771474"/>
            <a:ext cx="1598850" cy="722145"/>
          </a:xfrm>
          <a:prstGeom prst="roundRect">
            <a:avLst>
              <a:gd name="adj" fmla="val 30247"/>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Sales</a:t>
            </a:r>
          </a:p>
        </xdr:txBody>
      </xdr:sp>
      <xdr:sp macro="" textlink="Pivot_Tables!D8">
        <xdr:nvSpPr>
          <xdr:cNvPr id="22" name="TextBox 21">
            <a:extLst>
              <a:ext uri="{FF2B5EF4-FFF2-40B4-BE49-F238E27FC236}">
                <a16:creationId xmlns:a16="http://schemas.microsoft.com/office/drawing/2014/main" id="{AB2AC0F9-B13C-326C-D535-D3A35BC92248}"/>
              </a:ext>
            </a:extLst>
          </xdr:cNvPr>
          <xdr:cNvSpPr txBox="1"/>
        </xdr:nvSpPr>
        <xdr:spPr>
          <a:xfrm>
            <a:off x="272142" y="1111896"/>
            <a:ext cx="1065245" cy="279918"/>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5576E4-0566-4E4A-8C21-1B24CA60C64C}" type="TxLink">
              <a:rPr lang="en-US" sz="1200" b="1" i="0" u="none" strike="noStrike">
                <a:solidFill>
                  <a:srgbClr val="F2F2F2"/>
                </a:solidFill>
                <a:latin typeface="Calibri"/>
                <a:ea typeface="Calibri"/>
                <a:cs typeface="Calibri"/>
              </a:rPr>
              <a:pPr algn="ctr"/>
              <a:t> 1,254,292 </a:t>
            </a:fld>
            <a:endParaRPr lang="en-US" sz="1200" b="1">
              <a:solidFill>
                <a:srgbClr val="F2F2F2"/>
              </a:solidFill>
            </a:endParaRPr>
          </a:p>
        </xdr:txBody>
      </xdr:sp>
    </xdr:grpSp>
    <xdr:clientData/>
  </xdr:twoCellAnchor>
  <xdr:twoCellAnchor>
    <xdr:from>
      <xdr:col>2</xdr:col>
      <xdr:colOff>599203</xdr:colOff>
      <xdr:row>4</xdr:row>
      <xdr:rowOff>95005</xdr:rowOff>
    </xdr:from>
    <xdr:to>
      <xdr:col>5</xdr:col>
      <xdr:colOff>372331</xdr:colOff>
      <xdr:row>8</xdr:row>
      <xdr:rowOff>70701</xdr:rowOff>
    </xdr:to>
    <xdr:grpSp>
      <xdr:nvGrpSpPr>
        <xdr:cNvPr id="31" name="Group 30">
          <a:extLst>
            <a:ext uri="{FF2B5EF4-FFF2-40B4-BE49-F238E27FC236}">
              <a16:creationId xmlns:a16="http://schemas.microsoft.com/office/drawing/2014/main" id="{16E95DF5-381F-126C-57B9-445F3A330D10}"/>
            </a:ext>
          </a:extLst>
        </xdr:cNvPr>
        <xdr:cNvGrpSpPr/>
      </xdr:nvGrpSpPr>
      <xdr:grpSpPr>
        <a:xfrm>
          <a:off x="1812183" y="771474"/>
          <a:ext cx="1592597" cy="722145"/>
          <a:chOff x="1812183" y="771474"/>
          <a:chExt cx="1592597" cy="722145"/>
        </a:xfrm>
      </xdr:grpSpPr>
      <xdr:sp macro="" textlink="">
        <xdr:nvSpPr>
          <xdr:cNvPr id="15" name="Rectangle: Rounded Corners 14">
            <a:extLst>
              <a:ext uri="{FF2B5EF4-FFF2-40B4-BE49-F238E27FC236}">
                <a16:creationId xmlns:a16="http://schemas.microsoft.com/office/drawing/2014/main" id="{4AB6DCC2-F25A-4281-B215-8AF65F2F27B7}"/>
              </a:ext>
            </a:extLst>
          </xdr:cNvPr>
          <xdr:cNvSpPr/>
        </xdr:nvSpPr>
        <xdr:spPr>
          <a:xfrm>
            <a:off x="1812183" y="771474"/>
            <a:ext cx="1592597" cy="722145"/>
          </a:xfrm>
          <a:prstGeom prst="roundRect">
            <a:avLst>
              <a:gd name="adj" fmla="val 30247"/>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Orders</a:t>
            </a:r>
          </a:p>
        </xdr:txBody>
      </xdr:sp>
      <xdr:sp macro="" textlink="Pivot_Tables!D15">
        <xdr:nvSpPr>
          <xdr:cNvPr id="24" name="TextBox 23">
            <a:extLst>
              <a:ext uri="{FF2B5EF4-FFF2-40B4-BE49-F238E27FC236}">
                <a16:creationId xmlns:a16="http://schemas.microsoft.com/office/drawing/2014/main" id="{30C2D2F9-4404-4E97-9B18-5524B478C1F1}"/>
              </a:ext>
            </a:extLst>
          </xdr:cNvPr>
          <xdr:cNvSpPr txBox="1"/>
        </xdr:nvSpPr>
        <xdr:spPr>
          <a:xfrm>
            <a:off x="2083836" y="1119672"/>
            <a:ext cx="1065245" cy="279918"/>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5BCE32-BD16-4213-A869-E35337E08835}" type="TxLink">
              <a:rPr lang="en-US" sz="1200" b="1" i="0" u="none" strike="noStrike">
                <a:solidFill>
                  <a:srgbClr val="F2F2F2"/>
                </a:solidFill>
                <a:latin typeface="Calibri"/>
                <a:ea typeface="Calibri"/>
                <a:cs typeface="Calibri"/>
              </a:rPr>
              <a:pPr algn="ctr"/>
              <a:t>120</a:t>
            </a:fld>
            <a:endParaRPr lang="en-US" sz="1400" b="1">
              <a:solidFill>
                <a:srgbClr val="F2F2F2"/>
              </a:solidFill>
            </a:endParaRPr>
          </a:p>
        </xdr:txBody>
      </xdr:sp>
    </xdr:grpSp>
    <xdr:clientData/>
  </xdr:twoCellAnchor>
  <xdr:twoCellAnchor>
    <xdr:from>
      <xdr:col>5</xdr:col>
      <xdr:colOff>555184</xdr:colOff>
      <xdr:row>4</xdr:row>
      <xdr:rowOff>95005</xdr:rowOff>
    </xdr:from>
    <xdr:to>
      <xdr:col>8</xdr:col>
      <xdr:colOff>328311</xdr:colOff>
      <xdr:row>8</xdr:row>
      <xdr:rowOff>65528</xdr:rowOff>
    </xdr:to>
    <xdr:grpSp>
      <xdr:nvGrpSpPr>
        <xdr:cNvPr id="32" name="Group 31">
          <a:extLst>
            <a:ext uri="{FF2B5EF4-FFF2-40B4-BE49-F238E27FC236}">
              <a16:creationId xmlns:a16="http://schemas.microsoft.com/office/drawing/2014/main" id="{01D25492-1E74-7BB8-E571-072A795D7A2E}"/>
            </a:ext>
          </a:extLst>
        </xdr:cNvPr>
        <xdr:cNvGrpSpPr/>
      </xdr:nvGrpSpPr>
      <xdr:grpSpPr>
        <a:xfrm>
          <a:off x="3587633" y="771474"/>
          <a:ext cx="1592596" cy="716972"/>
          <a:chOff x="3587633" y="771474"/>
          <a:chExt cx="1592596" cy="716972"/>
        </a:xfrm>
        <a:solidFill>
          <a:srgbClr val="DBDBDB"/>
        </a:solidFill>
      </xdr:grpSpPr>
      <xdr:sp macro="" textlink="">
        <xdr:nvSpPr>
          <xdr:cNvPr id="16" name="Rectangle: Rounded Corners 15">
            <a:extLst>
              <a:ext uri="{FF2B5EF4-FFF2-40B4-BE49-F238E27FC236}">
                <a16:creationId xmlns:a16="http://schemas.microsoft.com/office/drawing/2014/main" id="{F85ED9DD-46D1-4B3E-BD9C-8FA4C6D828B0}"/>
              </a:ext>
            </a:extLst>
          </xdr:cNvPr>
          <xdr:cNvSpPr/>
        </xdr:nvSpPr>
        <xdr:spPr>
          <a:xfrm>
            <a:off x="3587633" y="771474"/>
            <a:ext cx="1592596" cy="716972"/>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Average Price</a:t>
            </a:r>
            <a:endParaRPr lang="en-US" sz="1200" b="1">
              <a:solidFill>
                <a:srgbClr val="1B2A49"/>
              </a:solidFill>
            </a:endParaRPr>
          </a:p>
        </xdr:txBody>
      </xdr:sp>
      <xdr:sp macro="" textlink="Pivot_Tables!D22">
        <xdr:nvSpPr>
          <xdr:cNvPr id="25" name="TextBox 24">
            <a:extLst>
              <a:ext uri="{FF2B5EF4-FFF2-40B4-BE49-F238E27FC236}">
                <a16:creationId xmlns:a16="http://schemas.microsoft.com/office/drawing/2014/main" id="{4D968159-311F-43CD-90D7-33F3A68CA121}"/>
              </a:ext>
            </a:extLst>
          </xdr:cNvPr>
          <xdr:cNvSpPr txBox="1"/>
        </xdr:nvSpPr>
        <xdr:spPr>
          <a:xfrm>
            <a:off x="3853541" y="1108786"/>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21B95C-5FC0-4CE5-A873-1B41BD26FCBA}" type="TxLink">
              <a:rPr lang="en-US" sz="1200" b="1" i="0" u="none" strike="noStrike">
                <a:solidFill>
                  <a:srgbClr val="1B2A49"/>
                </a:solidFill>
                <a:latin typeface="Calibri"/>
                <a:ea typeface="Calibri"/>
                <a:cs typeface="Calibri"/>
              </a:rPr>
              <a:pPr algn="ctr"/>
              <a:t> 10,452 </a:t>
            </a:fld>
            <a:endParaRPr lang="en-US" sz="1400" b="1">
              <a:solidFill>
                <a:srgbClr val="1B2A49"/>
              </a:solidFill>
            </a:endParaRPr>
          </a:p>
        </xdr:txBody>
      </xdr:sp>
    </xdr:grpSp>
    <xdr:clientData/>
  </xdr:twoCellAnchor>
  <xdr:twoCellAnchor>
    <xdr:from>
      <xdr:col>8</xdr:col>
      <xdr:colOff>511164</xdr:colOff>
      <xdr:row>4</xdr:row>
      <xdr:rowOff>95005</xdr:rowOff>
    </xdr:from>
    <xdr:to>
      <xdr:col>11</xdr:col>
      <xdr:colOff>283717</xdr:colOff>
      <xdr:row>8</xdr:row>
      <xdr:rowOff>70702</xdr:rowOff>
    </xdr:to>
    <xdr:grpSp>
      <xdr:nvGrpSpPr>
        <xdr:cNvPr id="33" name="Group 32">
          <a:extLst>
            <a:ext uri="{FF2B5EF4-FFF2-40B4-BE49-F238E27FC236}">
              <a16:creationId xmlns:a16="http://schemas.microsoft.com/office/drawing/2014/main" id="{E945BF7A-E4B0-76BC-AFE7-8EEFEDE6F602}"/>
            </a:ext>
          </a:extLst>
        </xdr:cNvPr>
        <xdr:cNvGrpSpPr/>
      </xdr:nvGrpSpPr>
      <xdr:grpSpPr>
        <a:xfrm>
          <a:off x="5363082" y="771474"/>
          <a:ext cx="1592023" cy="722146"/>
          <a:chOff x="5363082" y="771474"/>
          <a:chExt cx="1592023" cy="722146"/>
        </a:xfrm>
        <a:solidFill>
          <a:srgbClr val="DBDBDB"/>
        </a:solidFill>
      </xdr:grpSpPr>
      <xdr:sp macro="" textlink="">
        <xdr:nvSpPr>
          <xdr:cNvPr id="17" name="Rectangle: Rounded Corners 16">
            <a:extLst>
              <a:ext uri="{FF2B5EF4-FFF2-40B4-BE49-F238E27FC236}">
                <a16:creationId xmlns:a16="http://schemas.microsoft.com/office/drawing/2014/main" id="{635F44E4-F1D7-402F-8B17-EBED6B27B4B5}"/>
              </a:ext>
            </a:extLst>
          </xdr:cNvPr>
          <xdr:cNvSpPr/>
        </xdr:nvSpPr>
        <xdr:spPr>
          <a:xfrm>
            <a:off x="5363082" y="771474"/>
            <a:ext cx="1592023" cy="722146"/>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On-Time Rate</a:t>
            </a:r>
          </a:p>
        </xdr:txBody>
      </xdr:sp>
      <xdr:sp macro="" textlink="Pivot_Tables!AL9">
        <xdr:nvSpPr>
          <xdr:cNvPr id="26" name="TextBox 25">
            <a:extLst>
              <a:ext uri="{FF2B5EF4-FFF2-40B4-BE49-F238E27FC236}">
                <a16:creationId xmlns:a16="http://schemas.microsoft.com/office/drawing/2014/main" id="{E99CE275-59C5-42FA-8E47-CB7AE4B45ED6}"/>
              </a:ext>
            </a:extLst>
          </xdr:cNvPr>
          <xdr:cNvSpPr txBox="1"/>
        </xdr:nvSpPr>
        <xdr:spPr>
          <a:xfrm>
            <a:off x="5638804" y="1121223"/>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903F1B-5B48-406C-A837-AC488ECEB8DD}" type="TxLink">
              <a:rPr lang="en-US" sz="1200" b="1" i="0" u="none" strike="noStrike">
                <a:solidFill>
                  <a:srgbClr val="1B2A49"/>
                </a:solidFill>
                <a:latin typeface="Calibri"/>
                <a:ea typeface="Calibri"/>
                <a:cs typeface="Calibri"/>
              </a:rPr>
              <a:pPr algn="ctr"/>
              <a:t>4%</a:t>
            </a:fld>
            <a:endParaRPr lang="en-US" sz="1400" b="1">
              <a:solidFill>
                <a:srgbClr val="1B2A49"/>
              </a:solidFill>
            </a:endParaRPr>
          </a:p>
        </xdr:txBody>
      </xdr:sp>
    </xdr:grpSp>
    <xdr:clientData/>
  </xdr:twoCellAnchor>
  <xdr:twoCellAnchor>
    <xdr:from>
      <xdr:col>11</xdr:col>
      <xdr:colOff>466570</xdr:colOff>
      <xdr:row>4</xdr:row>
      <xdr:rowOff>95005</xdr:rowOff>
    </xdr:from>
    <xdr:to>
      <xdr:col>14</xdr:col>
      <xdr:colOff>239123</xdr:colOff>
      <xdr:row>8</xdr:row>
      <xdr:rowOff>70700</xdr:rowOff>
    </xdr:to>
    <xdr:grpSp>
      <xdr:nvGrpSpPr>
        <xdr:cNvPr id="34" name="Group 33">
          <a:extLst>
            <a:ext uri="{FF2B5EF4-FFF2-40B4-BE49-F238E27FC236}">
              <a16:creationId xmlns:a16="http://schemas.microsoft.com/office/drawing/2014/main" id="{4DAAD677-9240-6D79-4D7C-9D0CD4D53308}"/>
            </a:ext>
          </a:extLst>
        </xdr:cNvPr>
        <xdr:cNvGrpSpPr/>
      </xdr:nvGrpSpPr>
      <xdr:grpSpPr>
        <a:xfrm>
          <a:off x="7137958" y="771474"/>
          <a:ext cx="1592022" cy="722144"/>
          <a:chOff x="7137958" y="771474"/>
          <a:chExt cx="1592022" cy="722144"/>
        </a:xfrm>
        <a:solidFill>
          <a:srgbClr val="DBDBDB"/>
        </a:solidFill>
      </xdr:grpSpPr>
      <xdr:sp macro="" textlink="">
        <xdr:nvSpPr>
          <xdr:cNvPr id="18" name="Rectangle: Rounded Corners 17">
            <a:extLst>
              <a:ext uri="{FF2B5EF4-FFF2-40B4-BE49-F238E27FC236}">
                <a16:creationId xmlns:a16="http://schemas.microsoft.com/office/drawing/2014/main" id="{EC280327-6620-4973-907B-B356EFCE5751}"/>
              </a:ext>
            </a:extLst>
          </xdr:cNvPr>
          <xdr:cNvSpPr/>
        </xdr:nvSpPr>
        <xdr:spPr>
          <a:xfrm>
            <a:off x="7137958" y="771474"/>
            <a:ext cx="1592022" cy="722144"/>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Top Product</a:t>
            </a:r>
          </a:p>
        </xdr:txBody>
      </xdr:sp>
      <xdr:sp macro="" textlink="Pivot_Tables!P24">
        <xdr:nvSpPr>
          <xdr:cNvPr id="27" name="TextBox 26">
            <a:extLst>
              <a:ext uri="{FF2B5EF4-FFF2-40B4-BE49-F238E27FC236}">
                <a16:creationId xmlns:a16="http://schemas.microsoft.com/office/drawing/2014/main" id="{7CF0A7C5-2E94-452E-952B-36BCCFD8748C}"/>
              </a:ext>
            </a:extLst>
          </xdr:cNvPr>
          <xdr:cNvSpPr txBox="1"/>
        </xdr:nvSpPr>
        <xdr:spPr>
          <a:xfrm>
            <a:off x="7408522" y="1125882"/>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F0D182-FBDF-421C-9AAE-81065CC4660F}" type="TxLink">
              <a:rPr lang="ar-SA" sz="1200" b="1" i="0" u="none" strike="noStrike">
                <a:solidFill>
                  <a:srgbClr val="1B2A49"/>
                </a:solidFill>
                <a:latin typeface="Calibri"/>
                <a:ea typeface="Calibri"/>
                <a:cs typeface="Calibri"/>
              </a:rPr>
              <a:pPr algn="ctr"/>
              <a:t>سرير</a:t>
            </a:fld>
            <a:endParaRPr lang="en-US" sz="1400" b="1">
              <a:solidFill>
                <a:srgbClr val="1B2A49"/>
              </a:solidFill>
            </a:endParaRPr>
          </a:p>
        </xdr:txBody>
      </xdr:sp>
    </xdr:grpSp>
    <xdr:clientData/>
  </xdr:twoCellAnchor>
  <xdr:twoCellAnchor>
    <xdr:from>
      <xdr:col>14</xdr:col>
      <xdr:colOff>421976</xdr:colOff>
      <xdr:row>4</xdr:row>
      <xdr:rowOff>95005</xdr:rowOff>
    </xdr:from>
    <xdr:to>
      <xdr:col>17</xdr:col>
      <xdr:colOff>195104</xdr:colOff>
      <xdr:row>8</xdr:row>
      <xdr:rowOff>70701</xdr:rowOff>
    </xdr:to>
    <xdr:grpSp>
      <xdr:nvGrpSpPr>
        <xdr:cNvPr id="35" name="Group 34">
          <a:extLst>
            <a:ext uri="{FF2B5EF4-FFF2-40B4-BE49-F238E27FC236}">
              <a16:creationId xmlns:a16="http://schemas.microsoft.com/office/drawing/2014/main" id="{7DF1B0DE-48D9-BF31-5310-092B49C6ADA9}"/>
            </a:ext>
          </a:extLst>
        </xdr:cNvPr>
        <xdr:cNvGrpSpPr/>
      </xdr:nvGrpSpPr>
      <xdr:grpSpPr>
        <a:xfrm>
          <a:off x="8912833" y="771474"/>
          <a:ext cx="1592598" cy="722145"/>
          <a:chOff x="8912833" y="771474"/>
          <a:chExt cx="1592598" cy="722145"/>
        </a:xfrm>
        <a:solidFill>
          <a:srgbClr val="DBDBDB"/>
        </a:solidFill>
      </xdr:grpSpPr>
      <xdr:sp macro="" textlink="">
        <xdr:nvSpPr>
          <xdr:cNvPr id="19" name="Rectangle: Rounded Corners 18">
            <a:extLst>
              <a:ext uri="{FF2B5EF4-FFF2-40B4-BE49-F238E27FC236}">
                <a16:creationId xmlns:a16="http://schemas.microsoft.com/office/drawing/2014/main" id="{AB690F22-8E41-4977-B8F5-D6EAEE9B106A}"/>
              </a:ext>
            </a:extLst>
          </xdr:cNvPr>
          <xdr:cNvSpPr/>
        </xdr:nvSpPr>
        <xdr:spPr>
          <a:xfrm>
            <a:off x="8912833" y="771474"/>
            <a:ext cx="1592598"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Best Color Sold</a:t>
            </a:r>
          </a:p>
        </xdr:txBody>
      </xdr:sp>
      <xdr:sp macro="" textlink="Pivot_Tables!P37">
        <xdr:nvSpPr>
          <xdr:cNvPr id="28" name="TextBox 27">
            <a:extLst>
              <a:ext uri="{FF2B5EF4-FFF2-40B4-BE49-F238E27FC236}">
                <a16:creationId xmlns:a16="http://schemas.microsoft.com/office/drawing/2014/main" id="{5C09A2C6-267B-450E-8489-030480B6690C}"/>
              </a:ext>
            </a:extLst>
          </xdr:cNvPr>
          <xdr:cNvSpPr txBox="1"/>
        </xdr:nvSpPr>
        <xdr:spPr>
          <a:xfrm>
            <a:off x="9178235" y="1138317"/>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C06141-ECDF-4139-AD30-007158815FCC}" type="TxLink">
              <a:rPr lang="ar-SA" sz="1200" b="1" i="0" u="none" strike="noStrike">
                <a:solidFill>
                  <a:srgbClr val="1B2A49"/>
                </a:solidFill>
                <a:latin typeface="Calibri"/>
                <a:ea typeface="Calibri"/>
                <a:cs typeface="Calibri"/>
              </a:rPr>
              <a:pPr algn="ctr"/>
              <a:t>اسود</a:t>
            </a:fld>
            <a:endParaRPr lang="en-US" sz="1400" b="1">
              <a:solidFill>
                <a:srgbClr val="1B2A49"/>
              </a:solidFill>
            </a:endParaRPr>
          </a:p>
        </xdr:txBody>
      </xdr:sp>
    </xdr:grpSp>
    <xdr:clientData/>
  </xdr:twoCellAnchor>
  <xdr:twoCellAnchor>
    <xdr:from>
      <xdr:col>17</xdr:col>
      <xdr:colOff>377957</xdr:colOff>
      <xdr:row>4</xdr:row>
      <xdr:rowOff>95005</xdr:rowOff>
    </xdr:from>
    <xdr:to>
      <xdr:col>20</xdr:col>
      <xdr:colOff>151085</xdr:colOff>
      <xdr:row>8</xdr:row>
      <xdr:rowOff>70702</xdr:rowOff>
    </xdr:to>
    <xdr:grpSp>
      <xdr:nvGrpSpPr>
        <xdr:cNvPr id="36" name="Group 35">
          <a:extLst>
            <a:ext uri="{FF2B5EF4-FFF2-40B4-BE49-F238E27FC236}">
              <a16:creationId xmlns:a16="http://schemas.microsoft.com/office/drawing/2014/main" id="{A8F30A8E-12D3-CF64-AE20-651946545D58}"/>
            </a:ext>
          </a:extLst>
        </xdr:cNvPr>
        <xdr:cNvGrpSpPr/>
      </xdr:nvGrpSpPr>
      <xdr:grpSpPr>
        <a:xfrm>
          <a:off x="10688284" y="771474"/>
          <a:ext cx="1592597" cy="722146"/>
          <a:chOff x="10688284" y="771474"/>
          <a:chExt cx="1592597" cy="722146"/>
        </a:xfrm>
        <a:solidFill>
          <a:srgbClr val="DBDBDB"/>
        </a:solidFill>
      </xdr:grpSpPr>
      <xdr:sp macro="" textlink="">
        <xdr:nvSpPr>
          <xdr:cNvPr id="20" name="Rectangle: Rounded Corners 19">
            <a:extLst>
              <a:ext uri="{FF2B5EF4-FFF2-40B4-BE49-F238E27FC236}">
                <a16:creationId xmlns:a16="http://schemas.microsoft.com/office/drawing/2014/main" id="{71EECFF9-5175-42DA-8D9F-FDD9C8BFDB45}"/>
              </a:ext>
            </a:extLst>
          </xdr:cNvPr>
          <xdr:cNvSpPr/>
        </xdr:nvSpPr>
        <xdr:spPr>
          <a:xfrm>
            <a:off x="10688284" y="771474"/>
            <a:ext cx="1592597" cy="722146"/>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Top Selling City</a:t>
            </a:r>
          </a:p>
        </xdr:txBody>
      </xdr:sp>
      <xdr:sp macro="" textlink="Pivot_Tables!AY12">
        <xdr:nvSpPr>
          <xdr:cNvPr id="29" name="TextBox 28">
            <a:extLst>
              <a:ext uri="{FF2B5EF4-FFF2-40B4-BE49-F238E27FC236}">
                <a16:creationId xmlns:a16="http://schemas.microsoft.com/office/drawing/2014/main" id="{C9866308-C91D-49F3-850B-BEC6972C90A2}"/>
              </a:ext>
            </a:extLst>
          </xdr:cNvPr>
          <xdr:cNvSpPr txBox="1"/>
        </xdr:nvSpPr>
        <xdr:spPr>
          <a:xfrm>
            <a:off x="10955735" y="1142974"/>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7AC20C-1016-4889-8E92-C773B41AE001}" type="TxLink">
              <a:rPr lang="ar-SA" sz="1200" b="1" i="0" u="none" strike="noStrike">
                <a:solidFill>
                  <a:srgbClr val="1B2A49"/>
                </a:solidFill>
                <a:latin typeface="Calibri"/>
                <a:ea typeface="Calibri"/>
                <a:cs typeface="Calibri"/>
              </a:rPr>
              <a:pPr algn="ctr"/>
              <a:t>القاهرة</a:t>
            </a:fld>
            <a:endParaRPr lang="en-US" sz="1400" b="1">
              <a:solidFill>
                <a:srgbClr val="1B2A49"/>
              </a:solidFill>
            </a:endParaRPr>
          </a:p>
        </xdr:txBody>
      </xdr:sp>
    </xdr:grpSp>
    <xdr:clientData/>
  </xdr:twoCellAnchor>
  <xdr:twoCellAnchor>
    <xdr:from>
      <xdr:col>20</xdr:col>
      <xdr:colOff>333935</xdr:colOff>
      <xdr:row>4</xdr:row>
      <xdr:rowOff>95005</xdr:rowOff>
    </xdr:from>
    <xdr:to>
      <xdr:col>23</xdr:col>
      <xdr:colOff>107063</xdr:colOff>
      <xdr:row>8</xdr:row>
      <xdr:rowOff>70701</xdr:rowOff>
    </xdr:to>
    <xdr:grpSp>
      <xdr:nvGrpSpPr>
        <xdr:cNvPr id="37" name="Group 36">
          <a:extLst>
            <a:ext uri="{FF2B5EF4-FFF2-40B4-BE49-F238E27FC236}">
              <a16:creationId xmlns:a16="http://schemas.microsoft.com/office/drawing/2014/main" id="{28A8D56F-7ED6-3B2F-2070-3A437E16C275}"/>
            </a:ext>
          </a:extLst>
        </xdr:cNvPr>
        <xdr:cNvGrpSpPr/>
      </xdr:nvGrpSpPr>
      <xdr:grpSpPr>
        <a:xfrm>
          <a:off x="12463731" y="771474"/>
          <a:ext cx="1592597" cy="722145"/>
          <a:chOff x="12463731" y="771474"/>
          <a:chExt cx="1592597" cy="722145"/>
        </a:xfrm>
        <a:solidFill>
          <a:srgbClr val="DBDBDB"/>
        </a:solidFill>
      </xdr:grpSpPr>
      <xdr:sp macro="" textlink="">
        <xdr:nvSpPr>
          <xdr:cNvPr id="21" name="Rectangle: Rounded Corners 20">
            <a:extLst>
              <a:ext uri="{FF2B5EF4-FFF2-40B4-BE49-F238E27FC236}">
                <a16:creationId xmlns:a16="http://schemas.microsoft.com/office/drawing/2014/main" id="{852CC2EC-C985-4533-8FA3-BFDE3688F604}"/>
              </a:ext>
            </a:extLst>
          </xdr:cNvPr>
          <xdr:cNvSpPr/>
        </xdr:nvSpPr>
        <xdr:spPr>
          <a:xfrm>
            <a:off x="12463731" y="771474"/>
            <a:ext cx="1592597"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1B2A49"/>
                </a:solidFill>
              </a:rPr>
              <a:t>Delivery Breakdown</a:t>
            </a:r>
          </a:p>
        </xdr:txBody>
      </xdr:sp>
      <xdr:sp macro="" textlink="Pivot_Tables!AL18">
        <xdr:nvSpPr>
          <xdr:cNvPr id="30" name="TextBox 29">
            <a:extLst>
              <a:ext uri="{FF2B5EF4-FFF2-40B4-BE49-F238E27FC236}">
                <a16:creationId xmlns:a16="http://schemas.microsoft.com/office/drawing/2014/main" id="{E6D3AF9E-F351-4D3E-B3EC-5289F1270FEE}"/>
              </a:ext>
            </a:extLst>
          </xdr:cNvPr>
          <xdr:cNvSpPr txBox="1"/>
        </xdr:nvSpPr>
        <xdr:spPr>
          <a:xfrm>
            <a:off x="12733228" y="1147635"/>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4A14AE-5E9E-4C67-9948-EAED99B7F0DF}" type="TxLink">
              <a:rPr lang="en-US" sz="1200" b="1" i="0" u="none" strike="noStrike">
                <a:solidFill>
                  <a:srgbClr val="1B2A49"/>
                </a:solidFill>
                <a:latin typeface="Calibri"/>
                <a:ea typeface="Calibri"/>
                <a:cs typeface="Calibri"/>
              </a:rPr>
              <a:pPr algn="ctr"/>
              <a:t>16%</a:t>
            </a:fld>
            <a:endParaRPr lang="en-US" sz="1400" b="1">
              <a:solidFill>
                <a:srgbClr val="1B2A49"/>
              </a:solidFill>
            </a:endParaRPr>
          </a:p>
        </xdr:txBody>
      </xdr:sp>
    </xdr:grpSp>
    <xdr:clientData/>
  </xdr:twoCellAnchor>
  <xdr:twoCellAnchor>
    <xdr:from>
      <xdr:col>0</xdr:col>
      <xdr:colOff>30480</xdr:colOff>
      <xdr:row>8</xdr:row>
      <xdr:rowOff>155021</xdr:rowOff>
    </xdr:from>
    <xdr:to>
      <xdr:col>5</xdr:col>
      <xdr:colOff>373901</xdr:colOff>
      <xdr:row>30</xdr:row>
      <xdr:rowOff>7286</xdr:rowOff>
    </xdr:to>
    <xdr:sp macro="" textlink="">
      <xdr:nvSpPr>
        <xdr:cNvPr id="38" name="Rectangle: Rounded Corners 37">
          <a:extLst>
            <a:ext uri="{FF2B5EF4-FFF2-40B4-BE49-F238E27FC236}">
              <a16:creationId xmlns:a16="http://schemas.microsoft.com/office/drawing/2014/main" id="{2A64C705-9B60-29A0-B3D0-47A65ACF54DC}"/>
            </a:ext>
          </a:extLst>
        </xdr:cNvPr>
        <xdr:cNvSpPr/>
      </xdr:nvSpPr>
      <xdr:spPr>
        <a:xfrm>
          <a:off x="30480" y="1519095"/>
          <a:ext cx="3400828" cy="3784561"/>
        </a:xfrm>
        <a:prstGeom prst="roundRect">
          <a:avLst>
            <a:gd name="adj" fmla="val 8136"/>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5</xdr:col>
      <xdr:colOff>489252</xdr:colOff>
      <xdr:row>8</xdr:row>
      <xdr:rowOff>155021</xdr:rowOff>
    </xdr:from>
    <xdr:to>
      <xdr:col>17</xdr:col>
      <xdr:colOff>191678</xdr:colOff>
      <xdr:row>19</xdr:row>
      <xdr:rowOff>42057</xdr:rowOff>
    </xdr:to>
    <xdr:sp macro="" textlink="">
      <xdr:nvSpPr>
        <xdr:cNvPr id="39" name="Rectangle: Rounded Corners 38">
          <a:extLst>
            <a:ext uri="{FF2B5EF4-FFF2-40B4-BE49-F238E27FC236}">
              <a16:creationId xmlns:a16="http://schemas.microsoft.com/office/drawing/2014/main" id="{481F74C4-8313-402D-8F9B-CD94363DA273}"/>
            </a:ext>
          </a:extLst>
        </xdr:cNvPr>
        <xdr:cNvSpPr/>
      </xdr:nvSpPr>
      <xdr:spPr>
        <a:xfrm>
          <a:off x="3546659" y="1519095"/>
          <a:ext cx="7040204" cy="1853184"/>
        </a:xfrm>
        <a:prstGeom prst="roundRect">
          <a:avLst>
            <a:gd name="adj" fmla="val 11638"/>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5</xdr:col>
      <xdr:colOff>489252</xdr:colOff>
      <xdr:row>19</xdr:row>
      <xdr:rowOff>123395</xdr:rowOff>
    </xdr:from>
    <xdr:to>
      <xdr:col>17</xdr:col>
      <xdr:colOff>191678</xdr:colOff>
      <xdr:row>30</xdr:row>
      <xdr:rowOff>10430</xdr:rowOff>
    </xdr:to>
    <xdr:sp macro="" textlink="">
      <xdr:nvSpPr>
        <xdr:cNvPr id="40" name="Rectangle: Rounded Corners 39">
          <a:extLst>
            <a:ext uri="{FF2B5EF4-FFF2-40B4-BE49-F238E27FC236}">
              <a16:creationId xmlns:a16="http://schemas.microsoft.com/office/drawing/2014/main" id="{7F8BF78E-1511-4C62-A69C-CEF95613F627}"/>
            </a:ext>
          </a:extLst>
        </xdr:cNvPr>
        <xdr:cNvSpPr/>
      </xdr:nvSpPr>
      <xdr:spPr>
        <a:xfrm>
          <a:off x="3546659" y="3453617"/>
          <a:ext cx="7040204" cy="1853183"/>
        </a:xfrm>
        <a:prstGeom prst="roundRect">
          <a:avLst>
            <a:gd name="adj" fmla="val 11638"/>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17</xdr:col>
      <xdr:colOff>379193</xdr:colOff>
      <xdr:row>8</xdr:row>
      <xdr:rowOff>155021</xdr:rowOff>
    </xdr:from>
    <xdr:to>
      <xdr:col>23</xdr:col>
      <xdr:colOff>140843</xdr:colOff>
      <xdr:row>19</xdr:row>
      <xdr:rowOff>42057</xdr:rowOff>
    </xdr:to>
    <xdr:sp macro="" textlink="">
      <xdr:nvSpPr>
        <xdr:cNvPr id="41" name="Rectangle: Rounded Corners 40">
          <a:extLst>
            <a:ext uri="{FF2B5EF4-FFF2-40B4-BE49-F238E27FC236}">
              <a16:creationId xmlns:a16="http://schemas.microsoft.com/office/drawing/2014/main" id="{0526442D-7543-404A-99A7-B2CD6941754B}"/>
            </a:ext>
          </a:extLst>
        </xdr:cNvPr>
        <xdr:cNvSpPr/>
      </xdr:nvSpPr>
      <xdr:spPr>
        <a:xfrm>
          <a:off x="10795812" y="1537619"/>
          <a:ext cx="3438103" cy="1874520"/>
        </a:xfrm>
        <a:prstGeom prst="roundRect">
          <a:avLst>
            <a:gd name="adj" fmla="val 12895"/>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17</xdr:col>
      <xdr:colOff>379193</xdr:colOff>
      <xdr:row>19</xdr:row>
      <xdr:rowOff>123395</xdr:rowOff>
    </xdr:from>
    <xdr:to>
      <xdr:col>23</xdr:col>
      <xdr:colOff>140843</xdr:colOff>
      <xdr:row>30</xdr:row>
      <xdr:rowOff>10430</xdr:rowOff>
    </xdr:to>
    <xdr:sp macro="" textlink="">
      <xdr:nvSpPr>
        <xdr:cNvPr id="42" name="Rectangle: Rounded Corners 41">
          <a:extLst>
            <a:ext uri="{FF2B5EF4-FFF2-40B4-BE49-F238E27FC236}">
              <a16:creationId xmlns:a16="http://schemas.microsoft.com/office/drawing/2014/main" id="{2B3C5DBE-DC28-4390-8EEC-F78576FABF9A}"/>
            </a:ext>
          </a:extLst>
        </xdr:cNvPr>
        <xdr:cNvSpPr/>
      </xdr:nvSpPr>
      <xdr:spPr>
        <a:xfrm>
          <a:off x="10795812" y="3493477"/>
          <a:ext cx="3438103" cy="1874520"/>
        </a:xfrm>
        <a:prstGeom prst="roundRect">
          <a:avLst>
            <a:gd name="adj" fmla="val 14572"/>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5</xdr:col>
      <xdr:colOff>591766</xdr:colOff>
      <xdr:row>9</xdr:row>
      <xdr:rowOff>48639</xdr:rowOff>
    </xdr:from>
    <xdr:to>
      <xdr:col>17</xdr:col>
      <xdr:colOff>97277</xdr:colOff>
      <xdr:row>18</xdr:row>
      <xdr:rowOff>121596</xdr:rowOff>
    </xdr:to>
    <xdr:graphicFrame macro="">
      <xdr:nvGraphicFramePr>
        <xdr:cNvPr id="43" name="Chart 42">
          <a:extLst>
            <a:ext uri="{FF2B5EF4-FFF2-40B4-BE49-F238E27FC236}">
              <a16:creationId xmlns:a16="http://schemas.microsoft.com/office/drawing/2014/main" id="{F1F4ED8A-71E5-419C-9362-E259D4C4D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590882</xdr:colOff>
      <xdr:row>20</xdr:row>
      <xdr:rowOff>24235</xdr:rowOff>
    </xdr:from>
    <xdr:to>
      <xdr:col>17</xdr:col>
      <xdr:colOff>92290</xdr:colOff>
      <xdr:row>29</xdr:row>
      <xdr:rowOff>102133</xdr:rowOff>
    </xdr:to>
    <xdr:graphicFrame macro="">
      <xdr:nvGraphicFramePr>
        <xdr:cNvPr id="44" name="Chart 43">
          <a:extLst>
            <a:ext uri="{FF2B5EF4-FFF2-40B4-BE49-F238E27FC236}">
              <a16:creationId xmlns:a16="http://schemas.microsoft.com/office/drawing/2014/main" id="{28896376-AC26-45F3-AAB7-B91B1372D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472226</xdr:colOff>
      <xdr:row>20</xdr:row>
      <xdr:rowOff>21112</xdr:rowOff>
    </xdr:from>
    <xdr:to>
      <xdr:col>23</xdr:col>
      <xdr:colOff>42930</xdr:colOff>
      <xdr:row>29</xdr:row>
      <xdr:rowOff>101957</xdr:rowOff>
    </xdr:to>
    <xdr:graphicFrame macro="">
      <xdr:nvGraphicFramePr>
        <xdr:cNvPr id="45" name="Chart 44">
          <a:extLst>
            <a:ext uri="{FF2B5EF4-FFF2-40B4-BE49-F238E27FC236}">
              <a16:creationId xmlns:a16="http://schemas.microsoft.com/office/drawing/2014/main" id="{3CB42F35-CF05-4BA2-AB73-A6FA44011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449533</xdr:colOff>
      <xdr:row>9</xdr:row>
      <xdr:rowOff>58614</xdr:rowOff>
    </xdr:from>
    <xdr:to>
      <xdr:col>23</xdr:col>
      <xdr:colOff>75127</xdr:colOff>
      <xdr:row>18</xdr:row>
      <xdr:rowOff>128789</xdr:rowOff>
    </xdr:to>
    <xdr:graphicFrame macro="">
      <xdr:nvGraphicFramePr>
        <xdr:cNvPr id="46" name="Chart 45">
          <a:extLst>
            <a:ext uri="{FF2B5EF4-FFF2-40B4-BE49-F238E27FC236}">
              <a16:creationId xmlns:a16="http://schemas.microsoft.com/office/drawing/2014/main" id="{F5DFB43A-FDCE-4274-95E8-980D8E356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158104</xdr:colOff>
      <xdr:row>9</xdr:row>
      <xdr:rowOff>37635</xdr:rowOff>
    </xdr:from>
    <xdr:to>
      <xdr:col>5</xdr:col>
      <xdr:colOff>240699</xdr:colOff>
      <xdr:row>14</xdr:row>
      <xdr:rowOff>122296</xdr:rowOff>
    </xdr:to>
    <mc:AlternateContent xmlns:mc="http://schemas.openxmlformats.org/markup-compatibility/2006" xmlns:a14="http://schemas.microsoft.com/office/drawing/2010/main">
      <mc:Choice Requires="a14">
        <xdr:graphicFrame macro="">
          <xdr:nvGraphicFramePr>
            <xdr:cNvPr id="3" name="المحافظة">
              <a:extLst>
                <a:ext uri="{FF2B5EF4-FFF2-40B4-BE49-F238E27FC236}">
                  <a16:creationId xmlns:a16="http://schemas.microsoft.com/office/drawing/2014/main" id="{B08CFC1E-DB06-4DBB-872E-B73CCCBDF349}"/>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mlns="">
        <xdr:sp macro="" textlink="">
          <xdr:nvSpPr>
            <xdr:cNvPr id="0" name=""/>
            <xdr:cNvSpPr>
              <a:spLocks noTextEdit="1"/>
            </xdr:cNvSpPr>
          </xdr:nvSpPr>
          <xdr:spPr>
            <a:xfrm>
              <a:off x="158104" y="1647166"/>
              <a:ext cx="3115044" cy="1017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158104</xdr:colOff>
      <xdr:row>14</xdr:row>
      <xdr:rowOff>124241</xdr:rowOff>
    </xdr:from>
    <xdr:to>
      <xdr:col>5</xdr:col>
      <xdr:colOff>240699</xdr:colOff>
      <xdr:row>18</xdr:row>
      <xdr:rowOff>179293</xdr:rowOff>
    </xdr:to>
    <mc:AlternateContent xmlns:mc="http://schemas.openxmlformats.org/markup-compatibility/2006" xmlns:a14="http://schemas.microsoft.com/office/drawing/2010/main">
      <mc:Choice Requires="a14">
        <xdr:graphicFrame macro="">
          <xdr:nvGraphicFramePr>
            <xdr:cNvPr id="5" name="منصة البيع ">
              <a:extLst>
                <a:ext uri="{FF2B5EF4-FFF2-40B4-BE49-F238E27FC236}">
                  <a16:creationId xmlns:a16="http://schemas.microsoft.com/office/drawing/2014/main" id="{0788DFD2-1BD5-4B2C-A341-98D9A7F420B0}"/>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158104" y="2666833"/>
              <a:ext cx="3115044" cy="801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158104</xdr:colOff>
      <xdr:row>18</xdr:row>
      <xdr:rowOff>176348</xdr:rowOff>
    </xdr:from>
    <xdr:to>
      <xdr:col>5</xdr:col>
      <xdr:colOff>240699</xdr:colOff>
      <xdr:row>23</xdr:row>
      <xdr:rowOff>44197</xdr:rowOff>
    </xdr:to>
    <mc:AlternateContent xmlns:mc="http://schemas.openxmlformats.org/markup-compatibility/2006" xmlns:a14="http://schemas.microsoft.com/office/drawing/2010/main">
      <mc:Choice Requires="a14">
        <xdr:graphicFrame macro="">
          <xdr:nvGraphicFramePr>
            <xdr:cNvPr id="14" name="الصنف">
              <a:extLst>
                <a:ext uri="{FF2B5EF4-FFF2-40B4-BE49-F238E27FC236}">
                  <a16:creationId xmlns:a16="http://schemas.microsoft.com/office/drawing/2014/main" id="{40C5AB2E-0404-44AC-8DC2-32BEA152E4A6}"/>
                </a:ext>
              </a:extLst>
            </xdr:cNvPr>
            <xdr:cNvGraphicFramePr/>
          </xdr:nvGraphicFramePr>
          <xdr:xfrm>
            <a:off x="0" y="0"/>
            <a:ext cx="0" cy="0"/>
          </xdr:xfrm>
          <a:graphic>
            <a:graphicData uri="http://schemas.microsoft.com/office/drawing/2010/slicer">
              <sle:slicer xmlns:sle="http://schemas.microsoft.com/office/drawing/2010/slicer" name="الصنف"/>
            </a:graphicData>
          </a:graphic>
        </xdr:graphicFrame>
      </mc:Choice>
      <mc:Fallback xmlns="">
        <xdr:sp macro="" textlink="">
          <xdr:nvSpPr>
            <xdr:cNvPr id="0" name=""/>
            <xdr:cNvSpPr>
              <a:spLocks noTextEdit="1"/>
            </xdr:cNvSpPr>
          </xdr:nvSpPr>
          <xdr:spPr>
            <a:xfrm>
              <a:off x="158104" y="3465389"/>
              <a:ext cx="3115044" cy="800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158104</xdr:colOff>
      <xdr:row>23</xdr:row>
      <xdr:rowOff>39068</xdr:rowOff>
    </xdr:from>
    <xdr:to>
      <xdr:col>5</xdr:col>
      <xdr:colOff>240699</xdr:colOff>
      <xdr:row>26</xdr:row>
      <xdr:rowOff>47303</xdr:rowOff>
    </xdr:to>
    <mc:AlternateContent xmlns:mc="http://schemas.openxmlformats.org/markup-compatibility/2006" xmlns:a14="http://schemas.microsoft.com/office/drawing/2010/main">
      <mc:Choice Requires="a14">
        <xdr:graphicFrame macro="">
          <xdr:nvGraphicFramePr>
            <xdr:cNvPr id="47" name="تجربة العميل">
              <a:extLst>
                <a:ext uri="{FF2B5EF4-FFF2-40B4-BE49-F238E27FC236}">
                  <a16:creationId xmlns:a16="http://schemas.microsoft.com/office/drawing/2014/main" id="{27ED1C50-0A75-4E11-B2F4-9CDA19905DC4}"/>
                </a:ext>
              </a:extLst>
            </xdr:cNvPr>
            <xdr:cNvGraphicFramePr/>
          </xdr:nvGraphicFramePr>
          <xdr:xfrm>
            <a:off x="0" y="0"/>
            <a:ext cx="0" cy="0"/>
          </xdr:xfrm>
          <a:graphic>
            <a:graphicData uri="http://schemas.microsoft.com/office/drawing/2010/slicer">
              <sle:slicer xmlns:sle="http://schemas.microsoft.com/office/drawing/2010/slicer" name="تجربة العميل"/>
            </a:graphicData>
          </a:graphic>
        </xdr:graphicFrame>
      </mc:Choice>
      <mc:Fallback xmlns="">
        <xdr:sp macro="" textlink="">
          <xdr:nvSpPr>
            <xdr:cNvPr id="0" name=""/>
            <xdr:cNvSpPr>
              <a:spLocks noTextEdit="1"/>
            </xdr:cNvSpPr>
          </xdr:nvSpPr>
          <xdr:spPr>
            <a:xfrm>
              <a:off x="158104" y="4261170"/>
              <a:ext cx="3115044" cy="56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158104</xdr:colOff>
      <xdr:row>26</xdr:row>
      <xdr:rowOff>49199</xdr:rowOff>
    </xdr:from>
    <xdr:to>
      <xdr:col>5</xdr:col>
      <xdr:colOff>240699</xdr:colOff>
      <xdr:row>29</xdr:row>
      <xdr:rowOff>101495</xdr:rowOff>
    </xdr:to>
    <mc:AlternateContent xmlns:mc="http://schemas.openxmlformats.org/markup-compatibility/2006" xmlns:a14="http://schemas.microsoft.com/office/drawing/2010/main">
      <mc:Choice Requires="a14">
        <xdr:graphicFrame macro="">
          <xdr:nvGraphicFramePr>
            <xdr:cNvPr id="48" name="الحالة">
              <a:extLst>
                <a:ext uri="{FF2B5EF4-FFF2-40B4-BE49-F238E27FC236}">
                  <a16:creationId xmlns:a16="http://schemas.microsoft.com/office/drawing/2014/main" id="{F40FAE50-829D-4E3F-8E59-A39CC6EDE61F}"/>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158104" y="4831138"/>
              <a:ext cx="3115044" cy="61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31752</xdr:colOff>
      <xdr:row>0</xdr:row>
      <xdr:rowOff>7938</xdr:rowOff>
    </xdr:from>
    <xdr:to>
      <xdr:col>23</xdr:col>
      <xdr:colOff>13194</xdr:colOff>
      <xdr:row>3</xdr:row>
      <xdr:rowOff>115183</xdr:rowOff>
    </xdr:to>
    <xdr:grpSp>
      <xdr:nvGrpSpPr>
        <xdr:cNvPr id="2" name="Group 1">
          <a:extLst>
            <a:ext uri="{FF2B5EF4-FFF2-40B4-BE49-F238E27FC236}">
              <a16:creationId xmlns:a16="http://schemas.microsoft.com/office/drawing/2014/main" id="{D4AB8054-2680-41DD-9C2D-EEFE9753CF9F}"/>
            </a:ext>
          </a:extLst>
        </xdr:cNvPr>
        <xdr:cNvGrpSpPr/>
      </xdr:nvGrpSpPr>
      <xdr:grpSpPr>
        <a:xfrm>
          <a:off x="31752" y="7938"/>
          <a:ext cx="14038755" cy="654933"/>
          <a:chOff x="30480" y="11185"/>
          <a:chExt cx="14089380" cy="655885"/>
        </a:xfrm>
      </xdr:grpSpPr>
      <xdr:grpSp>
        <xdr:nvGrpSpPr>
          <xdr:cNvPr id="3" name="Group 2">
            <a:extLst>
              <a:ext uri="{FF2B5EF4-FFF2-40B4-BE49-F238E27FC236}">
                <a16:creationId xmlns:a16="http://schemas.microsoft.com/office/drawing/2014/main" id="{F53A32C0-FE06-BDE9-CEE1-E5DF970548CB}"/>
              </a:ext>
            </a:extLst>
          </xdr:cNvPr>
          <xdr:cNvGrpSpPr/>
        </xdr:nvGrpSpPr>
        <xdr:grpSpPr>
          <a:xfrm>
            <a:off x="30480" y="11185"/>
            <a:ext cx="14089380" cy="655885"/>
            <a:chOff x="30480" y="11185"/>
            <a:chExt cx="14089380" cy="655885"/>
          </a:xfrm>
        </xdr:grpSpPr>
        <xdr:sp macro="" textlink="">
          <xdr:nvSpPr>
            <xdr:cNvPr id="8" name="Rectangle: Rounded Corners 7">
              <a:extLst>
                <a:ext uri="{FF2B5EF4-FFF2-40B4-BE49-F238E27FC236}">
                  <a16:creationId xmlns:a16="http://schemas.microsoft.com/office/drawing/2014/main" id="{1EDF7BDD-0C2B-CE4C-838C-299E3525EA31}"/>
                </a:ext>
              </a:extLst>
            </xdr:cNvPr>
            <xdr:cNvSpPr/>
          </xdr:nvSpPr>
          <xdr:spPr>
            <a:xfrm>
              <a:off x="30480" y="30480"/>
              <a:ext cx="14089380" cy="617220"/>
            </a:xfrm>
            <a:prstGeom prst="roundRect">
              <a:avLst>
                <a:gd name="adj" fmla="val 30247"/>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 name="Picture 8">
              <a:hlinkClick xmlns:r="http://schemas.openxmlformats.org/officeDocument/2006/relationships" r:id="rId1"/>
              <a:extLst>
                <a:ext uri="{FF2B5EF4-FFF2-40B4-BE49-F238E27FC236}">
                  <a16:creationId xmlns:a16="http://schemas.microsoft.com/office/drawing/2014/main" id="{4EC6AE74-77CF-8144-0F15-E179157739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3737" y="41222"/>
              <a:ext cx="563880" cy="562827"/>
            </a:xfrm>
            <a:prstGeom prst="rect">
              <a:avLst/>
            </a:prstGeom>
            <a:ln>
              <a:noFill/>
            </a:ln>
          </xdr:spPr>
        </xdr:pic>
        <xdr:sp macro="" textlink="">
          <xdr:nvSpPr>
            <xdr:cNvPr id="10" name="TextBox 9">
              <a:extLst>
                <a:ext uri="{FF2B5EF4-FFF2-40B4-BE49-F238E27FC236}">
                  <a16:creationId xmlns:a16="http://schemas.microsoft.com/office/drawing/2014/main" id="{BB63376D-61CA-7DE6-548E-AB8C57CBD626}"/>
                </a:ext>
              </a:extLst>
            </xdr:cNvPr>
            <xdr:cNvSpPr txBox="1"/>
          </xdr:nvSpPr>
          <xdr:spPr>
            <a:xfrm>
              <a:off x="1060640" y="11185"/>
              <a:ext cx="492868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600">
                  <a:solidFill>
                    <a:srgbClr val="F2F2F2"/>
                  </a:solidFill>
                </a:rPr>
                <a:t>MISUO Sales Dashboard</a:t>
              </a:r>
              <a:endParaRPr lang="en-US" sz="1800">
                <a:solidFill>
                  <a:srgbClr val="F2F2F2"/>
                </a:solidFill>
              </a:endParaRPr>
            </a:p>
          </xdr:txBody>
        </xdr:sp>
      </xdr:grpSp>
      <xdr:grpSp>
        <xdr:nvGrpSpPr>
          <xdr:cNvPr id="4" name="Group 3">
            <a:extLst>
              <a:ext uri="{FF2B5EF4-FFF2-40B4-BE49-F238E27FC236}">
                <a16:creationId xmlns:a16="http://schemas.microsoft.com/office/drawing/2014/main" id="{3EC672F1-E558-CE6B-0C35-E9731A7BD313}"/>
              </a:ext>
            </a:extLst>
          </xdr:cNvPr>
          <xdr:cNvGrpSpPr/>
        </xdr:nvGrpSpPr>
        <xdr:grpSpPr>
          <a:xfrm>
            <a:off x="7229517" y="152417"/>
            <a:ext cx="6718315" cy="365758"/>
            <a:chOff x="7229517" y="152417"/>
            <a:chExt cx="6718315" cy="365758"/>
          </a:xfrm>
        </xdr:grpSpPr>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0DD387A4-CC83-97DE-CC28-39815D0ECAE0}"/>
                </a:ext>
              </a:extLst>
            </xdr:cNvPr>
            <xdr:cNvSpPr/>
          </xdr:nvSpPr>
          <xdr:spPr>
            <a:xfrm>
              <a:off x="7229517" y="152417"/>
              <a:ext cx="2139523" cy="365758"/>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lt1"/>
                  </a:solidFill>
                  <a:latin typeface="+mn-lt"/>
                  <a:ea typeface="+mn-ea"/>
                  <a:cs typeface="+mn-cs"/>
                </a:rPr>
                <a:t>Overview</a:t>
              </a:r>
            </a:p>
          </xdr:txBody>
        </xdr:sp>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5EB093CF-11A0-0526-6C5F-E632C33AFA46}"/>
                </a:ext>
              </a:extLst>
            </xdr:cNvPr>
            <xdr:cNvSpPr/>
          </xdr:nvSpPr>
          <xdr:spPr>
            <a:xfrm>
              <a:off x="11804604" y="152417"/>
              <a:ext cx="2143228" cy="365758"/>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t>Product &amp; Customer Analysis</a:t>
              </a:r>
              <a:endParaRPr lang="en-US" sz="1200" b="1">
                <a:solidFill>
                  <a:schemeClr val="lt1"/>
                </a:solidFill>
                <a:latin typeface="+mn-lt"/>
                <a:ea typeface="+mn-ea"/>
                <a:cs typeface="+mn-cs"/>
              </a:endParaRPr>
            </a:p>
          </xdr:txBody>
        </xdr:sp>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FC9EA4A4-755B-E6ED-0A23-C29A225BA1C6}"/>
                </a:ext>
              </a:extLst>
            </xdr:cNvPr>
            <xdr:cNvSpPr/>
          </xdr:nvSpPr>
          <xdr:spPr>
            <a:xfrm>
              <a:off x="9514994" y="152417"/>
              <a:ext cx="2143655" cy="365756"/>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lt1"/>
                  </a:solidFill>
                  <a:latin typeface="+mn-lt"/>
                  <a:ea typeface="+mn-ea"/>
                  <a:cs typeface="+mn-cs"/>
                </a:rPr>
                <a:t>Sales &amp; Market Analysis</a:t>
              </a:r>
            </a:p>
          </xdr:txBody>
        </xdr:sp>
      </xdr:grpSp>
    </xdr:grpSp>
    <xdr:clientData/>
  </xdr:twoCellAnchor>
  <xdr:twoCellAnchor>
    <xdr:from>
      <xdr:col>0</xdr:col>
      <xdr:colOff>31752</xdr:colOff>
      <xdr:row>3</xdr:row>
      <xdr:rowOff>175578</xdr:rowOff>
    </xdr:from>
    <xdr:to>
      <xdr:col>2</xdr:col>
      <xdr:colOff>411402</xdr:colOff>
      <xdr:row>7</xdr:row>
      <xdr:rowOff>166203</xdr:rowOff>
    </xdr:to>
    <xdr:grpSp>
      <xdr:nvGrpSpPr>
        <xdr:cNvPr id="11" name="Group 10">
          <a:extLst>
            <a:ext uri="{FF2B5EF4-FFF2-40B4-BE49-F238E27FC236}">
              <a16:creationId xmlns:a16="http://schemas.microsoft.com/office/drawing/2014/main" id="{F89155FE-D33B-4C8A-81AE-DED52BCC4B77}"/>
            </a:ext>
          </a:extLst>
        </xdr:cNvPr>
        <xdr:cNvGrpSpPr/>
      </xdr:nvGrpSpPr>
      <xdr:grpSpPr>
        <a:xfrm>
          <a:off x="31752" y="723266"/>
          <a:ext cx="1602025" cy="720875"/>
          <a:chOff x="30480" y="771474"/>
          <a:chExt cx="1598850" cy="722145"/>
        </a:xfrm>
      </xdr:grpSpPr>
      <xdr:sp macro="" textlink="">
        <xdr:nvSpPr>
          <xdr:cNvPr id="12" name="Rectangle: Rounded Corners 11">
            <a:extLst>
              <a:ext uri="{FF2B5EF4-FFF2-40B4-BE49-F238E27FC236}">
                <a16:creationId xmlns:a16="http://schemas.microsoft.com/office/drawing/2014/main" id="{88484B6A-B2BF-44F7-4F5C-0832FD67A555}"/>
              </a:ext>
            </a:extLst>
          </xdr:cNvPr>
          <xdr:cNvSpPr/>
        </xdr:nvSpPr>
        <xdr:spPr>
          <a:xfrm>
            <a:off x="30480" y="771474"/>
            <a:ext cx="1598850" cy="722145"/>
          </a:xfrm>
          <a:prstGeom prst="roundRect">
            <a:avLst>
              <a:gd name="adj" fmla="val 30247"/>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DBDBDB"/>
                </a:solidFill>
              </a:rPr>
              <a:t>Total Sales</a:t>
            </a:r>
          </a:p>
        </xdr:txBody>
      </xdr:sp>
      <xdr:sp macro="" textlink="Pivot_Tables!D8">
        <xdr:nvSpPr>
          <xdr:cNvPr id="13" name="TextBox 12">
            <a:extLst>
              <a:ext uri="{FF2B5EF4-FFF2-40B4-BE49-F238E27FC236}">
                <a16:creationId xmlns:a16="http://schemas.microsoft.com/office/drawing/2014/main" id="{E9E6707D-A0B3-0BB0-F079-A4E11ECA0954}"/>
              </a:ext>
            </a:extLst>
          </xdr:cNvPr>
          <xdr:cNvSpPr txBox="1"/>
        </xdr:nvSpPr>
        <xdr:spPr>
          <a:xfrm>
            <a:off x="272142" y="1111896"/>
            <a:ext cx="1065245" cy="279918"/>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C0EFC0-F185-4BCB-9CBF-59F3B8B3736B}" type="TxLink">
              <a:rPr lang="en-US" sz="1200" b="1" i="0" u="none" strike="noStrike">
                <a:solidFill>
                  <a:srgbClr val="DBDBDB"/>
                </a:solidFill>
                <a:latin typeface="Calibri"/>
                <a:ea typeface="Calibri"/>
                <a:cs typeface="Calibri"/>
              </a:rPr>
              <a:pPr algn="ctr"/>
              <a:t> 1,254,292 </a:t>
            </a:fld>
            <a:endParaRPr lang="en-US" sz="1400" b="1">
              <a:solidFill>
                <a:srgbClr val="DBDBDB"/>
              </a:solidFill>
            </a:endParaRPr>
          </a:p>
        </xdr:txBody>
      </xdr:sp>
    </xdr:grpSp>
    <xdr:clientData/>
  </xdr:twoCellAnchor>
  <xdr:twoCellAnchor>
    <xdr:from>
      <xdr:col>2</xdr:col>
      <xdr:colOff>594255</xdr:colOff>
      <xdr:row>3</xdr:row>
      <xdr:rowOff>175578</xdr:rowOff>
    </xdr:from>
    <xdr:to>
      <xdr:col>5</xdr:col>
      <xdr:colOff>358052</xdr:colOff>
      <xdr:row>7</xdr:row>
      <xdr:rowOff>166203</xdr:rowOff>
    </xdr:to>
    <xdr:grpSp>
      <xdr:nvGrpSpPr>
        <xdr:cNvPr id="14" name="Group 13">
          <a:extLst>
            <a:ext uri="{FF2B5EF4-FFF2-40B4-BE49-F238E27FC236}">
              <a16:creationId xmlns:a16="http://schemas.microsoft.com/office/drawing/2014/main" id="{FA969E2D-BFB7-439A-90C0-5B7F4A734916}"/>
            </a:ext>
          </a:extLst>
        </xdr:cNvPr>
        <xdr:cNvGrpSpPr/>
      </xdr:nvGrpSpPr>
      <xdr:grpSpPr>
        <a:xfrm>
          <a:off x="1816630" y="723266"/>
          <a:ext cx="1597360" cy="720875"/>
          <a:chOff x="1812183" y="771474"/>
          <a:chExt cx="1592597" cy="722145"/>
        </a:xfrm>
      </xdr:grpSpPr>
      <xdr:sp macro="" textlink="">
        <xdr:nvSpPr>
          <xdr:cNvPr id="15" name="Rectangle: Rounded Corners 14">
            <a:extLst>
              <a:ext uri="{FF2B5EF4-FFF2-40B4-BE49-F238E27FC236}">
                <a16:creationId xmlns:a16="http://schemas.microsoft.com/office/drawing/2014/main" id="{89D66914-CA61-141D-C285-E5A1F1DD9290}"/>
              </a:ext>
            </a:extLst>
          </xdr:cNvPr>
          <xdr:cNvSpPr/>
        </xdr:nvSpPr>
        <xdr:spPr>
          <a:xfrm>
            <a:off x="1812183" y="771474"/>
            <a:ext cx="1592597" cy="722145"/>
          </a:xfrm>
          <a:prstGeom prst="roundRect">
            <a:avLst>
              <a:gd name="adj" fmla="val 30247"/>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DBDBDB"/>
                </a:solidFill>
              </a:rPr>
              <a:t>Total Orders</a:t>
            </a:r>
          </a:p>
        </xdr:txBody>
      </xdr:sp>
      <xdr:sp macro="" textlink="Pivot_Tables!D15">
        <xdr:nvSpPr>
          <xdr:cNvPr id="16" name="TextBox 15">
            <a:extLst>
              <a:ext uri="{FF2B5EF4-FFF2-40B4-BE49-F238E27FC236}">
                <a16:creationId xmlns:a16="http://schemas.microsoft.com/office/drawing/2014/main" id="{475C3E92-639B-A287-5868-ABE99C896AA7}"/>
              </a:ext>
            </a:extLst>
          </xdr:cNvPr>
          <xdr:cNvSpPr txBox="1"/>
        </xdr:nvSpPr>
        <xdr:spPr>
          <a:xfrm>
            <a:off x="2083836" y="1119672"/>
            <a:ext cx="1065245" cy="279918"/>
          </a:xfrm>
          <a:prstGeom prst="rect">
            <a:avLst/>
          </a:prstGeom>
          <a:solidFill>
            <a:srgbClr val="1B2A4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B3D2A-EA67-412D-8400-E96E2F0DFEBD}" type="TxLink">
              <a:rPr lang="en-US" sz="1200" b="1" i="0" u="none" strike="noStrike">
                <a:solidFill>
                  <a:srgbClr val="DBDBDB"/>
                </a:solidFill>
                <a:latin typeface="Calibri"/>
                <a:ea typeface="Calibri"/>
                <a:cs typeface="Calibri"/>
              </a:rPr>
              <a:pPr algn="ctr"/>
              <a:t>120</a:t>
            </a:fld>
            <a:endParaRPr lang="en-US" sz="1600" b="1">
              <a:solidFill>
                <a:srgbClr val="DBDBDB"/>
              </a:solidFill>
            </a:endParaRPr>
          </a:p>
        </xdr:txBody>
      </xdr:sp>
    </xdr:grpSp>
    <xdr:clientData/>
  </xdr:twoCellAnchor>
  <xdr:twoCellAnchor>
    <xdr:from>
      <xdr:col>5</xdr:col>
      <xdr:colOff>540905</xdr:colOff>
      <xdr:row>3</xdr:row>
      <xdr:rowOff>175578</xdr:rowOff>
    </xdr:from>
    <xdr:to>
      <xdr:col>8</xdr:col>
      <xdr:colOff>304701</xdr:colOff>
      <xdr:row>7</xdr:row>
      <xdr:rowOff>161030</xdr:rowOff>
    </xdr:to>
    <xdr:grpSp>
      <xdr:nvGrpSpPr>
        <xdr:cNvPr id="17" name="Group 16">
          <a:extLst>
            <a:ext uri="{FF2B5EF4-FFF2-40B4-BE49-F238E27FC236}">
              <a16:creationId xmlns:a16="http://schemas.microsoft.com/office/drawing/2014/main" id="{B9ED7BB0-1EB8-45D6-BD85-ACAFA2D8BDD2}"/>
            </a:ext>
          </a:extLst>
        </xdr:cNvPr>
        <xdr:cNvGrpSpPr/>
      </xdr:nvGrpSpPr>
      <xdr:grpSpPr>
        <a:xfrm>
          <a:off x="3596843" y="723266"/>
          <a:ext cx="1597358" cy="715702"/>
          <a:chOff x="3587633" y="771474"/>
          <a:chExt cx="1592596" cy="716972"/>
        </a:xfrm>
        <a:solidFill>
          <a:srgbClr val="DBDBDB"/>
        </a:solidFill>
      </xdr:grpSpPr>
      <xdr:sp macro="" textlink="">
        <xdr:nvSpPr>
          <xdr:cNvPr id="18" name="Rectangle: Rounded Corners 17">
            <a:extLst>
              <a:ext uri="{FF2B5EF4-FFF2-40B4-BE49-F238E27FC236}">
                <a16:creationId xmlns:a16="http://schemas.microsoft.com/office/drawing/2014/main" id="{829D2A21-B67E-F209-E8D1-C63F68596C34}"/>
              </a:ext>
            </a:extLst>
          </xdr:cNvPr>
          <xdr:cNvSpPr/>
        </xdr:nvSpPr>
        <xdr:spPr>
          <a:xfrm>
            <a:off x="3587633" y="771474"/>
            <a:ext cx="1592596" cy="716972"/>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Average Price</a:t>
            </a:r>
            <a:endParaRPr lang="en-US" sz="1200" b="1">
              <a:solidFill>
                <a:srgbClr val="1B2A49"/>
              </a:solidFill>
            </a:endParaRPr>
          </a:p>
        </xdr:txBody>
      </xdr:sp>
      <xdr:sp macro="" textlink="Pivot_Tables!D22">
        <xdr:nvSpPr>
          <xdr:cNvPr id="19" name="TextBox 18">
            <a:extLst>
              <a:ext uri="{FF2B5EF4-FFF2-40B4-BE49-F238E27FC236}">
                <a16:creationId xmlns:a16="http://schemas.microsoft.com/office/drawing/2014/main" id="{7B4E8B2C-3551-C5A8-B30B-43DC29D6549A}"/>
              </a:ext>
            </a:extLst>
          </xdr:cNvPr>
          <xdr:cNvSpPr txBox="1"/>
        </xdr:nvSpPr>
        <xdr:spPr>
          <a:xfrm>
            <a:off x="3853541" y="1108786"/>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25375B-5F64-4507-ADA1-8C36F0F4CCD6}" type="TxLink">
              <a:rPr lang="en-US" sz="1200" b="1" i="0" u="none" strike="noStrike">
                <a:solidFill>
                  <a:srgbClr val="1B2A49"/>
                </a:solidFill>
                <a:latin typeface="Calibri"/>
                <a:ea typeface="Calibri"/>
                <a:cs typeface="Calibri"/>
              </a:rPr>
              <a:pPr algn="ctr"/>
              <a:t> 10,452 </a:t>
            </a:fld>
            <a:endParaRPr lang="en-US" sz="1600" b="1">
              <a:solidFill>
                <a:srgbClr val="1B2A49"/>
              </a:solidFill>
            </a:endParaRPr>
          </a:p>
        </xdr:txBody>
      </xdr:sp>
    </xdr:grpSp>
    <xdr:clientData/>
  </xdr:twoCellAnchor>
  <xdr:twoCellAnchor>
    <xdr:from>
      <xdr:col>8</xdr:col>
      <xdr:colOff>487554</xdr:colOff>
      <xdr:row>3</xdr:row>
      <xdr:rowOff>175578</xdr:rowOff>
    </xdr:from>
    <xdr:to>
      <xdr:col>11</xdr:col>
      <xdr:colOff>250777</xdr:colOff>
      <xdr:row>7</xdr:row>
      <xdr:rowOff>166204</xdr:rowOff>
    </xdr:to>
    <xdr:grpSp>
      <xdr:nvGrpSpPr>
        <xdr:cNvPr id="20" name="Group 19">
          <a:extLst>
            <a:ext uri="{FF2B5EF4-FFF2-40B4-BE49-F238E27FC236}">
              <a16:creationId xmlns:a16="http://schemas.microsoft.com/office/drawing/2014/main" id="{BF90CC8E-1767-4CD8-B035-3A8BD54707F9}"/>
            </a:ext>
          </a:extLst>
        </xdr:cNvPr>
        <xdr:cNvGrpSpPr/>
      </xdr:nvGrpSpPr>
      <xdr:grpSpPr>
        <a:xfrm>
          <a:off x="5377054" y="723266"/>
          <a:ext cx="1596786" cy="720876"/>
          <a:chOff x="5363082" y="771474"/>
          <a:chExt cx="1592023" cy="722146"/>
        </a:xfrm>
        <a:solidFill>
          <a:srgbClr val="DBDBDB"/>
        </a:solidFill>
      </xdr:grpSpPr>
      <xdr:sp macro="" textlink="">
        <xdr:nvSpPr>
          <xdr:cNvPr id="21" name="Rectangle: Rounded Corners 20">
            <a:extLst>
              <a:ext uri="{FF2B5EF4-FFF2-40B4-BE49-F238E27FC236}">
                <a16:creationId xmlns:a16="http://schemas.microsoft.com/office/drawing/2014/main" id="{E7DDFEB8-0FED-88B3-A261-F19F2D955EA2}"/>
              </a:ext>
            </a:extLst>
          </xdr:cNvPr>
          <xdr:cNvSpPr/>
        </xdr:nvSpPr>
        <xdr:spPr>
          <a:xfrm>
            <a:off x="5363082" y="771474"/>
            <a:ext cx="1592023" cy="722146"/>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On-Time Rate</a:t>
            </a:r>
          </a:p>
        </xdr:txBody>
      </xdr:sp>
      <xdr:sp macro="" textlink="Pivot_Tables!AL9">
        <xdr:nvSpPr>
          <xdr:cNvPr id="22" name="TextBox 21">
            <a:extLst>
              <a:ext uri="{FF2B5EF4-FFF2-40B4-BE49-F238E27FC236}">
                <a16:creationId xmlns:a16="http://schemas.microsoft.com/office/drawing/2014/main" id="{732690A8-B9C7-56FD-CCC5-95E3B2D09CAE}"/>
              </a:ext>
            </a:extLst>
          </xdr:cNvPr>
          <xdr:cNvSpPr txBox="1"/>
        </xdr:nvSpPr>
        <xdr:spPr>
          <a:xfrm>
            <a:off x="5638804" y="1121223"/>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F1C20B-BEF9-4A6B-AB5A-45C39B94FBA4}" type="TxLink">
              <a:rPr lang="en-US" sz="1200" b="1" i="0" u="none" strike="noStrike">
                <a:solidFill>
                  <a:srgbClr val="1B2A49"/>
                </a:solidFill>
                <a:latin typeface="Calibri"/>
                <a:ea typeface="Calibri"/>
                <a:cs typeface="Calibri"/>
              </a:rPr>
              <a:pPr algn="ctr"/>
              <a:t>4%</a:t>
            </a:fld>
            <a:endParaRPr lang="en-US" sz="1600" b="1">
              <a:solidFill>
                <a:srgbClr val="1B2A49"/>
              </a:solidFill>
            </a:endParaRPr>
          </a:p>
        </xdr:txBody>
      </xdr:sp>
    </xdr:grpSp>
    <xdr:clientData/>
  </xdr:twoCellAnchor>
  <xdr:twoCellAnchor>
    <xdr:from>
      <xdr:col>11</xdr:col>
      <xdr:colOff>433630</xdr:colOff>
      <xdr:row>3</xdr:row>
      <xdr:rowOff>175578</xdr:rowOff>
    </xdr:from>
    <xdr:to>
      <xdr:col>14</xdr:col>
      <xdr:colOff>196852</xdr:colOff>
      <xdr:row>7</xdr:row>
      <xdr:rowOff>166202</xdr:rowOff>
    </xdr:to>
    <xdr:grpSp>
      <xdr:nvGrpSpPr>
        <xdr:cNvPr id="23" name="Group 22">
          <a:extLst>
            <a:ext uri="{FF2B5EF4-FFF2-40B4-BE49-F238E27FC236}">
              <a16:creationId xmlns:a16="http://schemas.microsoft.com/office/drawing/2014/main" id="{95EADB5A-596A-43EF-B283-833FD61AC9D2}"/>
            </a:ext>
          </a:extLst>
        </xdr:cNvPr>
        <xdr:cNvGrpSpPr/>
      </xdr:nvGrpSpPr>
      <xdr:grpSpPr>
        <a:xfrm>
          <a:off x="7156693" y="723266"/>
          <a:ext cx="1596784" cy="720874"/>
          <a:chOff x="7137958" y="771474"/>
          <a:chExt cx="1592022" cy="722144"/>
        </a:xfrm>
        <a:solidFill>
          <a:srgbClr val="DBDBDB"/>
        </a:solidFill>
      </xdr:grpSpPr>
      <xdr:sp macro="" textlink="">
        <xdr:nvSpPr>
          <xdr:cNvPr id="24" name="Rectangle: Rounded Corners 23">
            <a:extLst>
              <a:ext uri="{FF2B5EF4-FFF2-40B4-BE49-F238E27FC236}">
                <a16:creationId xmlns:a16="http://schemas.microsoft.com/office/drawing/2014/main" id="{F28FBD05-F04F-90C4-CBFE-7C085BB45393}"/>
              </a:ext>
            </a:extLst>
          </xdr:cNvPr>
          <xdr:cNvSpPr/>
        </xdr:nvSpPr>
        <xdr:spPr>
          <a:xfrm>
            <a:off x="7137958" y="771474"/>
            <a:ext cx="1592022" cy="722144"/>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Top Product</a:t>
            </a:r>
          </a:p>
        </xdr:txBody>
      </xdr:sp>
      <xdr:sp macro="" textlink="Pivot_Tables!P24">
        <xdr:nvSpPr>
          <xdr:cNvPr id="25" name="TextBox 24">
            <a:extLst>
              <a:ext uri="{FF2B5EF4-FFF2-40B4-BE49-F238E27FC236}">
                <a16:creationId xmlns:a16="http://schemas.microsoft.com/office/drawing/2014/main" id="{7F0B9D90-91E3-2A99-B07E-954F48B9974C}"/>
              </a:ext>
            </a:extLst>
          </xdr:cNvPr>
          <xdr:cNvSpPr txBox="1"/>
        </xdr:nvSpPr>
        <xdr:spPr>
          <a:xfrm>
            <a:off x="7408522" y="1125882"/>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63E6D0-A26C-4529-8151-6529B3628840}" type="TxLink">
              <a:rPr lang="ar-SA" sz="1200" b="1" i="0" u="none" strike="noStrike">
                <a:solidFill>
                  <a:srgbClr val="1B2A49"/>
                </a:solidFill>
                <a:latin typeface="Calibri"/>
                <a:ea typeface="Calibri"/>
                <a:cs typeface="Calibri"/>
              </a:rPr>
              <a:pPr algn="ctr"/>
              <a:t>سرير</a:t>
            </a:fld>
            <a:endParaRPr lang="en-US" sz="1600" b="1">
              <a:solidFill>
                <a:srgbClr val="1B2A49"/>
              </a:solidFill>
            </a:endParaRPr>
          </a:p>
        </xdr:txBody>
      </xdr:sp>
    </xdr:grpSp>
    <xdr:clientData/>
  </xdr:twoCellAnchor>
  <xdr:twoCellAnchor>
    <xdr:from>
      <xdr:col>14</xdr:col>
      <xdr:colOff>379705</xdr:colOff>
      <xdr:row>3</xdr:row>
      <xdr:rowOff>175578</xdr:rowOff>
    </xdr:from>
    <xdr:to>
      <xdr:col>17</xdr:col>
      <xdr:colOff>143503</xdr:colOff>
      <xdr:row>7</xdr:row>
      <xdr:rowOff>166203</xdr:rowOff>
    </xdr:to>
    <xdr:grpSp>
      <xdr:nvGrpSpPr>
        <xdr:cNvPr id="26" name="Group 25">
          <a:extLst>
            <a:ext uri="{FF2B5EF4-FFF2-40B4-BE49-F238E27FC236}">
              <a16:creationId xmlns:a16="http://schemas.microsoft.com/office/drawing/2014/main" id="{188AF5E4-BBBF-4138-BC28-0AC604987679}"/>
            </a:ext>
          </a:extLst>
        </xdr:cNvPr>
        <xdr:cNvGrpSpPr/>
      </xdr:nvGrpSpPr>
      <xdr:grpSpPr>
        <a:xfrm>
          <a:off x="8936330" y="723266"/>
          <a:ext cx="1597361" cy="720875"/>
          <a:chOff x="8912833" y="771474"/>
          <a:chExt cx="1592598" cy="722145"/>
        </a:xfrm>
        <a:solidFill>
          <a:srgbClr val="DBDBDB"/>
        </a:solidFill>
      </xdr:grpSpPr>
      <xdr:sp macro="" textlink="">
        <xdr:nvSpPr>
          <xdr:cNvPr id="27" name="Rectangle: Rounded Corners 26">
            <a:extLst>
              <a:ext uri="{FF2B5EF4-FFF2-40B4-BE49-F238E27FC236}">
                <a16:creationId xmlns:a16="http://schemas.microsoft.com/office/drawing/2014/main" id="{1884EBFB-80D8-73EF-A4AB-0BA5F68A4EED}"/>
              </a:ext>
            </a:extLst>
          </xdr:cNvPr>
          <xdr:cNvSpPr/>
        </xdr:nvSpPr>
        <xdr:spPr>
          <a:xfrm>
            <a:off x="8912833" y="771474"/>
            <a:ext cx="1592598"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Best Color Sold</a:t>
            </a:r>
          </a:p>
        </xdr:txBody>
      </xdr:sp>
      <xdr:sp macro="" textlink="Pivot_Tables!P37">
        <xdr:nvSpPr>
          <xdr:cNvPr id="28" name="TextBox 27">
            <a:extLst>
              <a:ext uri="{FF2B5EF4-FFF2-40B4-BE49-F238E27FC236}">
                <a16:creationId xmlns:a16="http://schemas.microsoft.com/office/drawing/2014/main" id="{FBB059EA-C8CC-A6D8-9EEE-C28D3A6E9831}"/>
              </a:ext>
            </a:extLst>
          </xdr:cNvPr>
          <xdr:cNvSpPr txBox="1"/>
        </xdr:nvSpPr>
        <xdr:spPr>
          <a:xfrm>
            <a:off x="9178235" y="1138317"/>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4969A7-E3BC-4F36-A8DB-2D9B93A32EB1}" type="TxLink">
              <a:rPr lang="ar-SA" sz="1200" b="1" i="0" u="none" strike="noStrike">
                <a:solidFill>
                  <a:srgbClr val="1B2A49"/>
                </a:solidFill>
                <a:latin typeface="Calibri"/>
                <a:ea typeface="Calibri"/>
                <a:cs typeface="Calibri"/>
              </a:rPr>
              <a:pPr algn="ctr"/>
              <a:t>اسود</a:t>
            </a:fld>
            <a:endParaRPr lang="en-US" sz="1600" b="1">
              <a:solidFill>
                <a:srgbClr val="1B2A49"/>
              </a:solidFill>
            </a:endParaRPr>
          </a:p>
        </xdr:txBody>
      </xdr:sp>
    </xdr:grpSp>
    <xdr:clientData/>
  </xdr:twoCellAnchor>
  <xdr:twoCellAnchor>
    <xdr:from>
      <xdr:col>17</xdr:col>
      <xdr:colOff>326356</xdr:colOff>
      <xdr:row>3</xdr:row>
      <xdr:rowOff>175578</xdr:rowOff>
    </xdr:from>
    <xdr:to>
      <xdr:col>20</xdr:col>
      <xdr:colOff>90153</xdr:colOff>
      <xdr:row>7</xdr:row>
      <xdr:rowOff>166204</xdr:rowOff>
    </xdr:to>
    <xdr:grpSp>
      <xdr:nvGrpSpPr>
        <xdr:cNvPr id="29" name="Group 28">
          <a:extLst>
            <a:ext uri="{FF2B5EF4-FFF2-40B4-BE49-F238E27FC236}">
              <a16:creationId xmlns:a16="http://schemas.microsoft.com/office/drawing/2014/main" id="{A8424040-C60A-42EE-BB71-CF282A6D75B3}"/>
            </a:ext>
          </a:extLst>
        </xdr:cNvPr>
        <xdr:cNvGrpSpPr/>
      </xdr:nvGrpSpPr>
      <xdr:grpSpPr>
        <a:xfrm>
          <a:off x="10716544" y="723266"/>
          <a:ext cx="1597359" cy="720876"/>
          <a:chOff x="10688284" y="771474"/>
          <a:chExt cx="1592597" cy="722146"/>
        </a:xfrm>
        <a:solidFill>
          <a:srgbClr val="1B2A49"/>
        </a:solidFill>
      </xdr:grpSpPr>
      <xdr:sp macro="" textlink="">
        <xdr:nvSpPr>
          <xdr:cNvPr id="30" name="Rectangle: Rounded Corners 29">
            <a:extLst>
              <a:ext uri="{FF2B5EF4-FFF2-40B4-BE49-F238E27FC236}">
                <a16:creationId xmlns:a16="http://schemas.microsoft.com/office/drawing/2014/main" id="{140E4D6E-09F9-67BD-D755-4C8C4A7C7A11}"/>
              </a:ext>
            </a:extLst>
          </xdr:cNvPr>
          <xdr:cNvSpPr/>
        </xdr:nvSpPr>
        <xdr:spPr>
          <a:xfrm>
            <a:off x="10688284" y="771474"/>
            <a:ext cx="1592597" cy="722146"/>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DBDBDB"/>
                </a:solidFill>
              </a:rPr>
              <a:t>Top Selling City</a:t>
            </a:r>
          </a:p>
        </xdr:txBody>
      </xdr:sp>
      <xdr:sp macro="" textlink="Pivot_Tables!AY12">
        <xdr:nvSpPr>
          <xdr:cNvPr id="31" name="TextBox 30">
            <a:extLst>
              <a:ext uri="{FF2B5EF4-FFF2-40B4-BE49-F238E27FC236}">
                <a16:creationId xmlns:a16="http://schemas.microsoft.com/office/drawing/2014/main" id="{4B4B6090-95C6-CBA1-0A06-1DF1AF59052A}"/>
              </a:ext>
            </a:extLst>
          </xdr:cNvPr>
          <xdr:cNvSpPr txBox="1"/>
        </xdr:nvSpPr>
        <xdr:spPr>
          <a:xfrm>
            <a:off x="10955735" y="1142974"/>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BC233C-48AA-4AE2-AABF-30346A03F9F7}" type="TxLink">
              <a:rPr lang="ar-SA" sz="1200" b="1" i="0" u="none" strike="noStrike">
                <a:solidFill>
                  <a:srgbClr val="DBDBDB"/>
                </a:solidFill>
                <a:latin typeface="Calibri"/>
                <a:ea typeface="Calibri"/>
                <a:cs typeface="Calibri"/>
              </a:rPr>
              <a:pPr algn="ctr"/>
              <a:t>القاهرة</a:t>
            </a:fld>
            <a:endParaRPr lang="en-US" sz="1600" b="1">
              <a:solidFill>
                <a:srgbClr val="DBDBDB"/>
              </a:solidFill>
            </a:endParaRPr>
          </a:p>
        </xdr:txBody>
      </xdr:sp>
    </xdr:grpSp>
    <xdr:clientData/>
  </xdr:twoCellAnchor>
  <xdr:twoCellAnchor>
    <xdr:from>
      <xdr:col>20</xdr:col>
      <xdr:colOff>273003</xdr:colOff>
      <xdr:row>3</xdr:row>
      <xdr:rowOff>175578</xdr:rowOff>
    </xdr:from>
    <xdr:to>
      <xdr:col>23</xdr:col>
      <xdr:colOff>36800</xdr:colOff>
      <xdr:row>7</xdr:row>
      <xdr:rowOff>166203</xdr:rowOff>
    </xdr:to>
    <xdr:grpSp>
      <xdr:nvGrpSpPr>
        <xdr:cNvPr id="32" name="Group 31">
          <a:extLst>
            <a:ext uri="{FF2B5EF4-FFF2-40B4-BE49-F238E27FC236}">
              <a16:creationId xmlns:a16="http://schemas.microsoft.com/office/drawing/2014/main" id="{D8F95469-35D2-4D50-9E11-EC3F6FF2D5C0}"/>
            </a:ext>
          </a:extLst>
        </xdr:cNvPr>
        <xdr:cNvGrpSpPr/>
      </xdr:nvGrpSpPr>
      <xdr:grpSpPr>
        <a:xfrm>
          <a:off x="12496753" y="723266"/>
          <a:ext cx="1597360" cy="720875"/>
          <a:chOff x="12463731" y="771474"/>
          <a:chExt cx="1592597" cy="722145"/>
        </a:xfrm>
        <a:solidFill>
          <a:srgbClr val="DBDBDB"/>
        </a:solidFill>
      </xdr:grpSpPr>
      <xdr:sp macro="" textlink="">
        <xdr:nvSpPr>
          <xdr:cNvPr id="33" name="Rectangle: Rounded Corners 32">
            <a:extLst>
              <a:ext uri="{FF2B5EF4-FFF2-40B4-BE49-F238E27FC236}">
                <a16:creationId xmlns:a16="http://schemas.microsoft.com/office/drawing/2014/main" id="{F1CB7100-BBB2-45AB-BCC0-4DFA38EC0909}"/>
              </a:ext>
            </a:extLst>
          </xdr:cNvPr>
          <xdr:cNvSpPr/>
        </xdr:nvSpPr>
        <xdr:spPr>
          <a:xfrm>
            <a:off x="12463731" y="771474"/>
            <a:ext cx="1592597"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1B2A49"/>
                </a:solidFill>
              </a:rPr>
              <a:t>Delivery Breakdown</a:t>
            </a:r>
          </a:p>
        </xdr:txBody>
      </xdr:sp>
      <xdr:sp macro="" textlink="Pivot_Tables!AL18">
        <xdr:nvSpPr>
          <xdr:cNvPr id="34" name="TextBox 33">
            <a:extLst>
              <a:ext uri="{FF2B5EF4-FFF2-40B4-BE49-F238E27FC236}">
                <a16:creationId xmlns:a16="http://schemas.microsoft.com/office/drawing/2014/main" id="{4201F419-5A41-386A-D30B-944CB930B8C0}"/>
              </a:ext>
            </a:extLst>
          </xdr:cNvPr>
          <xdr:cNvSpPr txBox="1"/>
        </xdr:nvSpPr>
        <xdr:spPr>
          <a:xfrm>
            <a:off x="12733228" y="1147635"/>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4A14AE-5E9E-4C67-9948-EAED99B7F0DF}" type="TxLink">
              <a:rPr lang="en-US" sz="1200" b="1" i="0" u="none" strike="noStrike">
                <a:solidFill>
                  <a:srgbClr val="1B2A49"/>
                </a:solidFill>
                <a:latin typeface="Calibri"/>
                <a:ea typeface="Calibri"/>
                <a:cs typeface="Calibri"/>
              </a:rPr>
              <a:pPr algn="ctr"/>
              <a:t>16%</a:t>
            </a:fld>
            <a:endParaRPr lang="en-US" sz="1400" b="1">
              <a:solidFill>
                <a:srgbClr val="1B2A49"/>
              </a:solidFill>
            </a:endParaRPr>
          </a:p>
        </xdr:txBody>
      </xdr:sp>
    </xdr:grpSp>
    <xdr:clientData/>
  </xdr:twoCellAnchor>
  <xdr:twoCellAnchor>
    <xdr:from>
      <xdr:col>0</xdr:col>
      <xdr:colOff>31752</xdr:colOff>
      <xdr:row>8</xdr:row>
      <xdr:rowOff>67643</xdr:rowOff>
    </xdr:from>
    <xdr:to>
      <xdr:col>5</xdr:col>
      <xdr:colOff>359622</xdr:colOff>
      <xdr:row>30</xdr:row>
      <xdr:rowOff>2336</xdr:rowOff>
    </xdr:to>
    <xdr:sp macro="" textlink="">
      <xdr:nvSpPr>
        <xdr:cNvPr id="35" name="Rectangle: Rounded Corners 34">
          <a:extLst>
            <a:ext uri="{FF2B5EF4-FFF2-40B4-BE49-F238E27FC236}">
              <a16:creationId xmlns:a16="http://schemas.microsoft.com/office/drawing/2014/main" id="{F98601DA-A672-408A-BC02-A828FBE6F5FF}"/>
            </a:ext>
          </a:extLst>
        </xdr:cNvPr>
        <xdr:cNvSpPr/>
      </xdr:nvSpPr>
      <xdr:spPr>
        <a:xfrm>
          <a:off x="31752" y="1528143"/>
          <a:ext cx="3383808" cy="3951068"/>
        </a:xfrm>
        <a:prstGeom prst="roundRect">
          <a:avLst>
            <a:gd name="adj" fmla="val 8136"/>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5</xdr:col>
      <xdr:colOff>474973</xdr:colOff>
      <xdr:row>8</xdr:row>
      <xdr:rowOff>67643</xdr:rowOff>
    </xdr:from>
    <xdr:to>
      <xdr:col>16</xdr:col>
      <xdr:colOff>118533</xdr:colOff>
      <xdr:row>18</xdr:row>
      <xdr:rowOff>178614</xdr:rowOff>
    </xdr:to>
    <xdr:sp macro="" textlink="">
      <xdr:nvSpPr>
        <xdr:cNvPr id="36" name="Rectangle: Rounded Corners 35">
          <a:extLst>
            <a:ext uri="{FF2B5EF4-FFF2-40B4-BE49-F238E27FC236}">
              <a16:creationId xmlns:a16="http://schemas.microsoft.com/office/drawing/2014/main" id="{37ABB773-D5BE-4FFA-9C44-516712039D9E}"/>
            </a:ext>
          </a:extLst>
        </xdr:cNvPr>
        <xdr:cNvSpPr/>
      </xdr:nvSpPr>
      <xdr:spPr>
        <a:xfrm>
          <a:off x="3522973" y="1557776"/>
          <a:ext cx="6349160" cy="1973638"/>
        </a:xfrm>
        <a:prstGeom prst="roundRect">
          <a:avLst>
            <a:gd name="adj" fmla="val 11638"/>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5</xdr:col>
      <xdr:colOff>474973</xdr:colOff>
      <xdr:row>19</xdr:row>
      <xdr:rowOff>77072</xdr:rowOff>
    </xdr:from>
    <xdr:to>
      <xdr:col>16</xdr:col>
      <xdr:colOff>118533</xdr:colOff>
      <xdr:row>30</xdr:row>
      <xdr:rowOff>5480</xdr:rowOff>
    </xdr:to>
    <xdr:sp macro="" textlink="">
      <xdr:nvSpPr>
        <xdr:cNvPr id="37" name="Rectangle: Rounded Corners 36">
          <a:extLst>
            <a:ext uri="{FF2B5EF4-FFF2-40B4-BE49-F238E27FC236}">
              <a16:creationId xmlns:a16="http://schemas.microsoft.com/office/drawing/2014/main" id="{54D799A5-DC48-4397-A4D7-50A039C93988}"/>
            </a:ext>
          </a:extLst>
        </xdr:cNvPr>
        <xdr:cNvSpPr/>
      </xdr:nvSpPr>
      <xdr:spPr>
        <a:xfrm>
          <a:off x="3522973" y="3616139"/>
          <a:ext cx="6349160" cy="1977341"/>
        </a:xfrm>
        <a:prstGeom prst="roundRect">
          <a:avLst>
            <a:gd name="adj" fmla="val 11638"/>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16</xdr:col>
      <xdr:colOff>270933</xdr:colOff>
      <xdr:row>8</xdr:row>
      <xdr:rowOff>67643</xdr:rowOff>
    </xdr:from>
    <xdr:to>
      <xdr:col>23</xdr:col>
      <xdr:colOff>70580</xdr:colOff>
      <xdr:row>18</xdr:row>
      <xdr:rowOff>178614</xdr:rowOff>
    </xdr:to>
    <xdr:sp macro="" textlink="">
      <xdr:nvSpPr>
        <xdr:cNvPr id="38" name="Rectangle: Rounded Corners 37">
          <a:extLst>
            <a:ext uri="{FF2B5EF4-FFF2-40B4-BE49-F238E27FC236}">
              <a16:creationId xmlns:a16="http://schemas.microsoft.com/office/drawing/2014/main" id="{DACD9742-071E-4427-B028-B1131B199596}"/>
            </a:ext>
          </a:extLst>
        </xdr:cNvPr>
        <xdr:cNvSpPr/>
      </xdr:nvSpPr>
      <xdr:spPr>
        <a:xfrm>
          <a:off x="10024533" y="1557776"/>
          <a:ext cx="4066847" cy="1973638"/>
        </a:xfrm>
        <a:prstGeom prst="roundRect">
          <a:avLst>
            <a:gd name="adj" fmla="val 12895"/>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16</xdr:col>
      <xdr:colOff>270933</xdr:colOff>
      <xdr:row>19</xdr:row>
      <xdr:rowOff>77072</xdr:rowOff>
    </xdr:from>
    <xdr:to>
      <xdr:col>23</xdr:col>
      <xdr:colOff>70580</xdr:colOff>
      <xdr:row>30</xdr:row>
      <xdr:rowOff>5480</xdr:rowOff>
    </xdr:to>
    <xdr:sp macro="" textlink="">
      <xdr:nvSpPr>
        <xdr:cNvPr id="39" name="Rectangle: Rounded Corners 38">
          <a:extLst>
            <a:ext uri="{FF2B5EF4-FFF2-40B4-BE49-F238E27FC236}">
              <a16:creationId xmlns:a16="http://schemas.microsoft.com/office/drawing/2014/main" id="{1D281EC3-C1BC-4ABD-B490-4B272746F62C}"/>
            </a:ext>
          </a:extLst>
        </xdr:cNvPr>
        <xdr:cNvSpPr/>
      </xdr:nvSpPr>
      <xdr:spPr>
        <a:xfrm>
          <a:off x="10024533" y="3616139"/>
          <a:ext cx="4066847" cy="1977341"/>
        </a:xfrm>
        <a:prstGeom prst="roundRect">
          <a:avLst>
            <a:gd name="adj" fmla="val 14572"/>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20</xdr:col>
      <xdr:colOff>273003</xdr:colOff>
      <xdr:row>3</xdr:row>
      <xdr:rowOff>175578</xdr:rowOff>
    </xdr:from>
    <xdr:to>
      <xdr:col>23</xdr:col>
      <xdr:colOff>36800</xdr:colOff>
      <xdr:row>7</xdr:row>
      <xdr:rowOff>152656</xdr:rowOff>
    </xdr:to>
    <xdr:grpSp>
      <xdr:nvGrpSpPr>
        <xdr:cNvPr id="45" name="Group 44">
          <a:extLst>
            <a:ext uri="{FF2B5EF4-FFF2-40B4-BE49-F238E27FC236}">
              <a16:creationId xmlns:a16="http://schemas.microsoft.com/office/drawing/2014/main" id="{0BAA961E-E29D-4F10-B9D2-82D760F06158}"/>
            </a:ext>
          </a:extLst>
        </xdr:cNvPr>
        <xdr:cNvGrpSpPr/>
      </xdr:nvGrpSpPr>
      <xdr:grpSpPr>
        <a:xfrm>
          <a:off x="12496753" y="723266"/>
          <a:ext cx="1597360" cy="707328"/>
          <a:chOff x="12463731" y="771474"/>
          <a:chExt cx="1592597" cy="722145"/>
        </a:xfrm>
        <a:solidFill>
          <a:srgbClr val="DBDBDB"/>
        </a:solidFill>
      </xdr:grpSpPr>
      <xdr:sp macro="" textlink="">
        <xdr:nvSpPr>
          <xdr:cNvPr id="46" name="Rectangle: Rounded Corners 45">
            <a:extLst>
              <a:ext uri="{FF2B5EF4-FFF2-40B4-BE49-F238E27FC236}">
                <a16:creationId xmlns:a16="http://schemas.microsoft.com/office/drawing/2014/main" id="{E4BAAA41-9377-307D-DA1E-427725A0959E}"/>
              </a:ext>
            </a:extLst>
          </xdr:cNvPr>
          <xdr:cNvSpPr/>
        </xdr:nvSpPr>
        <xdr:spPr>
          <a:xfrm>
            <a:off x="12463731" y="771474"/>
            <a:ext cx="1592597"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1B2A49"/>
                </a:solidFill>
              </a:rPr>
              <a:t>Delivery Breakdown</a:t>
            </a:r>
          </a:p>
        </xdr:txBody>
      </xdr:sp>
      <xdr:sp macro="" textlink="Pivot_Tables!AL18">
        <xdr:nvSpPr>
          <xdr:cNvPr id="47" name="TextBox 46">
            <a:extLst>
              <a:ext uri="{FF2B5EF4-FFF2-40B4-BE49-F238E27FC236}">
                <a16:creationId xmlns:a16="http://schemas.microsoft.com/office/drawing/2014/main" id="{1C23CCD7-5CDD-C6EB-52A5-3DFACB8BE7C8}"/>
              </a:ext>
            </a:extLst>
          </xdr:cNvPr>
          <xdr:cNvSpPr txBox="1"/>
        </xdr:nvSpPr>
        <xdr:spPr>
          <a:xfrm>
            <a:off x="12733228" y="1147635"/>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208FA1-8458-46A3-9875-2CA89291736A}" type="TxLink">
              <a:rPr lang="en-US" sz="1200" b="1" i="0" u="none" strike="noStrike">
                <a:solidFill>
                  <a:srgbClr val="1B2A49"/>
                </a:solidFill>
                <a:latin typeface="Calibri"/>
                <a:ea typeface="Calibri"/>
                <a:cs typeface="Calibri"/>
              </a:rPr>
              <a:pPr algn="ctr"/>
              <a:t>16%</a:t>
            </a:fld>
            <a:endParaRPr lang="en-US" sz="1600" b="1">
              <a:solidFill>
                <a:srgbClr val="1B2A49"/>
              </a:solidFill>
            </a:endParaRPr>
          </a:p>
        </xdr:txBody>
      </xdr:sp>
    </xdr:grpSp>
    <xdr:clientData/>
  </xdr:twoCellAnchor>
  <xdr:twoCellAnchor>
    <xdr:from>
      <xdr:col>16</xdr:col>
      <xdr:colOff>376807</xdr:colOff>
      <xdr:row>8</xdr:row>
      <xdr:rowOff>138322</xdr:rowOff>
    </xdr:from>
    <xdr:to>
      <xdr:col>22</xdr:col>
      <xdr:colOff>577975</xdr:colOff>
      <xdr:row>18</xdr:row>
      <xdr:rowOff>91235</xdr:rowOff>
    </xdr:to>
    <xdr:graphicFrame macro="">
      <xdr:nvGraphicFramePr>
        <xdr:cNvPr id="48" name="Chart 47">
          <a:extLst>
            <a:ext uri="{FF2B5EF4-FFF2-40B4-BE49-F238E27FC236}">
              <a16:creationId xmlns:a16="http://schemas.microsoft.com/office/drawing/2014/main" id="{4222CF36-BB42-4639-BF29-38DC77830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576019</xdr:colOff>
      <xdr:row>19</xdr:row>
      <xdr:rowOff>135466</xdr:rowOff>
    </xdr:from>
    <xdr:to>
      <xdr:col>15</xdr:col>
      <xdr:colOff>606499</xdr:colOff>
      <xdr:row>29</xdr:row>
      <xdr:rowOff>119888</xdr:rowOff>
    </xdr:to>
    <xdr:graphicFrame macro="">
      <xdr:nvGraphicFramePr>
        <xdr:cNvPr id="49" name="Chart 48">
          <a:extLst>
            <a:ext uri="{FF2B5EF4-FFF2-40B4-BE49-F238E27FC236}">
              <a16:creationId xmlns:a16="http://schemas.microsoft.com/office/drawing/2014/main" id="{1A7C5A2E-07DC-4967-8543-268E15C3F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576019</xdr:colOff>
      <xdr:row>8</xdr:row>
      <xdr:rowOff>129019</xdr:rowOff>
    </xdr:from>
    <xdr:to>
      <xdr:col>16</xdr:col>
      <xdr:colOff>0</xdr:colOff>
      <xdr:row>18</xdr:row>
      <xdr:rowOff>110067</xdr:rowOff>
    </xdr:to>
    <xdr:graphicFrame macro="">
      <xdr:nvGraphicFramePr>
        <xdr:cNvPr id="50" name="Chart 49">
          <a:extLst>
            <a:ext uri="{FF2B5EF4-FFF2-40B4-BE49-F238E27FC236}">
              <a16:creationId xmlns:a16="http://schemas.microsoft.com/office/drawing/2014/main" id="{A86DF20B-F4DE-4C40-B487-48DD7144D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371552</xdr:colOff>
      <xdr:row>19</xdr:row>
      <xdr:rowOff>156751</xdr:rowOff>
    </xdr:from>
    <xdr:to>
      <xdr:col>22</xdr:col>
      <xdr:colOff>572720</xdr:colOff>
      <xdr:row>29</xdr:row>
      <xdr:rowOff>109665</xdr:rowOff>
    </xdr:to>
    <xdr:graphicFrame macro="">
      <xdr:nvGraphicFramePr>
        <xdr:cNvPr id="51" name="Chart 50">
          <a:extLst>
            <a:ext uri="{FF2B5EF4-FFF2-40B4-BE49-F238E27FC236}">
              <a16:creationId xmlns:a16="http://schemas.microsoft.com/office/drawing/2014/main" id="{2ED3A60D-E918-41AB-9FB3-4AB29808F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150795</xdr:colOff>
      <xdr:row>8</xdr:row>
      <xdr:rowOff>134946</xdr:rowOff>
    </xdr:from>
    <xdr:to>
      <xdr:col>5</xdr:col>
      <xdr:colOff>209901</xdr:colOff>
      <xdr:row>14</xdr:row>
      <xdr:rowOff>57293</xdr:rowOff>
    </xdr:to>
    <mc:AlternateContent xmlns:mc="http://schemas.openxmlformats.org/markup-compatibility/2006" xmlns:a14="http://schemas.microsoft.com/office/drawing/2010/main">
      <mc:Choice Requires="a14">
        <xdr:graphicFrame macro="">
          <xdr:nvGraphicFramePr>
            <xdr:cNvPr id="57" name="المحافظة 3">
              <a:extLst>
                <a:ext uri="{FF2B5EF4-FFF2-40B4-BE49-F238E27FC236}">
                  <a16:creationId xmlns:a16="http://schemas.microsoft.com/office/drawing/2014/main" id="{AD09EFE4-8920-4E55-8F19-1FD68780EC4E}"/>
                </a:ext>
              </a:extLst>
            </xdr:cNvPr>
            <xdr:cNvGraphicFramePr/>
          </xdr:nvGraphicFramePr>
          <xdr:xfrm>
            <a:off x="0" y="0"/>
            <a:ext cx="0" cy="0"/>
          </xdr:xfrm>
          <a:graphic>
            <a:graphicData uri="http://schemas.microsoft.com/office/drawing/2010/slicer">
              <sle:slicer xmlns:sle="http://schemas.microsoft.com/office/drawing/2010/slicer" name="المحافظة 3"/>
            </a:graphicData>
          </a:graphic>
        </xdr:graphicFrame>
      </mc:Choice>
      <mc:Fallback xmlns="">
        <xdr:sp macro="" textlink="">
          <xdr:nvSpPr>
            <xdr:cNvPr id="0" name=""/>
            <xdr:cNvSpPr>
              <a:spLocks noTextEdit="1"/>
            </xdr:cNvSpPr>
          </xdr:nvSpPr>
          <xdr:spPr>
            <a:xfrm>
              <a:off x="150795" y="1595446"/>
              <a:ext cx="3115044" cy="1017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150795</xdr:colOff>
      <xdr:row>14</xdr:row>
      <xdr:rowOff>59238</xdr:rowOff>
    </xdr:from>
    <xdr:to>
      <xdr:col>5</xdr:col>
      <xdr:colOff>209901</xdr:colOff>
      <xdr:row>18</xdr:row>
      <xdr:rowOff>130489</xdr:rowOff>
    </xdr:to>
    <mc:AlternateContent xmlns:mc="http://schemas.openxmlformats.org/markup-compatibility/2006" xmlns:a14="http://schemas.microsoft.com/office/drawing/2010/main">
      <mc:Choice Requires="a14">
        <xdr:graphicFrame macro="">
          <xdr:nvGraphicFramePr>
            <xdr:cNvPr id="58" name="منصة البيع  3">
              <a:extLst>
                <a:ext uri="{FF2B5EF4-FFF2-40B4-BE49-F238E27FC236}">
                  <a16:creationId xmlns:a16="http://schemas.microsoft.com/office/drawing/2014/main" id="{CBB06677-E1F8-48E7-BD35-92CE59EA2512}"/>
                </a:ext>
              </a:extLst>
            </xdr:cNvPr>
            <xdr:cNvGraphicFramePr/>
          </xdr:nvGraphicFramePr>
          <xdr:xfrm>
            <a:off x="0" y="0"/>
            <a:ext cx="0" cy="0"/>
          </xdr:xfrm>
          <a:graphic>
            <a:graphicData uri="http://schemas.microsoft.com/office/drawing/2010/slicer">
              <sle:slicer xmlns:sle="http://schemas.microsoft.com/office/drawing/2010/slicer" name="منصة البيع  3"/>
            </a:graphicData>
          </a:graphic>
        </xdr:graphicFrame>
      </mc:Choice>
      <mc:Fallback xmlns="">
        <xdr:sp macro="" textlink="">
          <xdr:nvSpPr>
            <xdr:cNvPr id="0" name=""/>
            <xdr:cNvSpPr>
              <a:spLocks noTextEdit="1"/>
            </xdr:cNvSpPr>
          </xdr:nvSpPr>
          <xdr:spPr>
            <a:xfrm>
              <a:off x="150795" y="2615113"/>
              <a:ext cx="3115044" cy="801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150795</xdr:colOff>
      <xdr:row>18</xdr:row>
      <xdr:rowOff>127544</xdr:rowOff>
    </xdr:from>
    <xdr:to>
      <xdr:col>5</xdr:col>
      <xdr:colOff>209901</xdr:colOff>
      <xdr:row>23</xdr:row>
      <xdr:rowOff>15641</xdr:rowOff>
    </xdr:to>
    <mc:AlternateContent xmlns:mc="http://schemas.openxmlformats.org/markup-compatibility/2006" xmlns:a14="http://schemas.microsoft.com/office/drawing/2010/main">
      <mc:Choice Requires="a14">
        <xdr:graphicFrame macro="">
          <xdr:nvGraphicFramePr>
            <xdr:cNvPr id="59" name="الصنف 3">
              <a:extLst>
                <a:ext uri="{FF2B5EF4-FFF2-40B4-BE49-F238E27FC236}">
                  <a16:creationId xmlns:a16="http://schemas.microsoft.com/office/drawing/2014/main" id="{7D720A95-6CE3-430E-8497-B0A8C113B8F2}"/>
                </a:ext>
              </a:extLst>
            </xdr:cNvPr>
            <xdr:cNvGraphicFramePr/>
          </xdr:nvGraphicFramePr>
          <xdr:xfrm>
            <a:off x="0" y="0"/>
            <a:ext cx="0" cy="0"/>
          </xdr:xfrm>
          <a:graphic>
            <a:graphicData uri="http://schemas.microsoft.com/office/drawing/2010/slicer">
              <sle:slicer xmlns:sle="http://schemas.microsoft.com/office/drawing/2010/slicer" name="الصنف 3"/>
            </a:graphicData>
          </a:graphic>
        </xdr:graphicFrame>
      </mc:Choice>
      <mc:Fallback xmlns="">
        <xdr:sp macro="" textlink="">
          <xdr:nvSpPr>
            <xdr:cNvPr id="0" name=""/>
            <xdr:cNvSpPr>
              <a:spLocks noTextEdit="1"/>
            </xdr:cNvSpPr>
          </xdr:nvSpPr>
          <xdr:spPr>
            <a:xfrm>
              <a:off x="150795" y="3413669"/>
              <a:ext cx="3115044" cy="800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150795</xdr:colOff>
      <xdr:row>23</xdr:row>
      <xdr:rowOff>10512</xdr:rowOff>
    </xdr:from>
    <xdr:to>
      <xdr:col>5</xdr:col>
      <xdr:colOff>209901</xdr:colOff>
      <xdr:row>26</xdr:row>
      <xdr:rowOff>30897</xdr:rowOff>
    </xdr:to>
    <mc:AlternateContent xmlns:mc="http://schemas.openxmlformats.org/markup-compatibility/2006" xmlns:a14="http://schemas.microsoft.com/office/drawing/2010/main">
      <mc:Choice Requires="a14">
        <xdr:graphicFrame macro="">
          <xdr:nvGraphicFramePr>
            <xdr:cNvPr id="60" name="تجربة العميل 3">
              <a:extLst>
                <a:ext uri="{FF2B5EF4-FFF2-40B4-BE49-F238E27FC236}">
                  <a16:creationId xmlns:a16="http://schemas.microsoft.com/office/drawing/2014/main" id="{74BCF030-0171-46A4-AD9C-C570A5479E55}"/>
                </a:ext>
              </a:extLst>
            </xdr:cNvPr>
            <xdr:cNvGraphicFramePr/>
          </xdr:nvGraphicFramePr>
          <xdr:xfrm>
            <a:off x="0" y="0"/>
            <a:ext cx="0" cy="0"/>
          </xdr:xfrm>
          <a:graphic>
            <a:graphicData uri="http://schemas.microsoft.com/office/drawing/2010/slicer">
              <sle:slicer xmlns:sle="http://schemas.microsoft.com/office/drawing/2010/slicer" name="تجربة العميل 3"/>
            </a:graphicData>
          </a:graphic>
        </xdr:graphicFrame>
      </mc:Choice>
      <mc:Fallback xmlns="">
        <xdr:sp macro="" textlink="">
          <xdr:nvSpPr>
            <xdr:cNvPr id="0" name=""/>
            <xdr:cNvSpPr>
              <a:spLocks noTextEdit="1"/>
            </xdr:cNvSpPr>
          </xdr:nvSpPr>
          <xdr:spPr>
            <a:xfrm>
              <a:off x="150795" y="4209450"/>
              <a:ext cx="3115044" cy="56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150795</xdr:colOff>
      <xdr:row>26</xdr:row>
      <xdr:rowOff>32793</xdr:rowOff>
    </xdr:from>
    <xdr:to>
      <xdr:col>5</xdr:col>
      <xdr:colOff>209901</xdr:colOff>
      <xdr:row>29</xdr:row>
      <xdr:rowOff>97238</xdr:rowOff>
    </xdr:to>
    <mc:AlternateContent xmlns:mc="http://schemas.openxmlformats.org/markup-compatibility/2006" xmlns:a14="http://schemas.microsoft.com/office/drawing/2010/main">
      <mc:Choice Requires="a14">
        <xdr:graphicFrame macro="">
          <xdr:nvGraphicFramePr>
            <xdr:cNvPr id="61" name="الحالة 3">
              <a:extLst>
                <a:ext uri="{FF2B5EF4-FFF2-40B4-BE49-F238E27FC236}">
                  <a16:creationId xmlns:a16="http://schemas.microsoft.com/office/drawing/2014/main" id="{4BE89119-C708-4661-A3DE-47BA5BEE8F8C}"/>
                </a:ext>
              </a:extLst>
            </xdr:cNvPr>
            <xdr:cNvGraphicFramePr/>
          </xdr:nvGraphicFramePr>
          <xdr:xfrm>
            <a:off x="0" y="0"/>
            <a:ext cx="0" cy="0"/>
          </xdr:xfrm>
          <a:graphic>
            <a:graphicData uri="http://schemas.microsoft.com/office/drawing/2010/slicer">
              <sle:slicer xmlns:sle="http://schemas.microsoft.com/office/drawing/2010/slicer" name="الحالة 3"/>
            </a:graphicData>
          </a:graphic>
        </xdr:graphicFrame>
      </mc:Choice>
      <mc:Fallback xmlns="">
        <xdr:sp macro="" textlink="">
          <xdr:nvSpPr>
            <xdr:cNvPr id="0" name=""/>
            <xdr:cNvSpPr>
              <a:spLocks noTextEdit="1"/>
            </xdr:cNvSpPr>
          </xdr:nvSpPr>
          <xdr:spPr>
            <a:xfrm>
              <a:off x="150795" y="4779418"/>
              <a:ext cx="3115044" cy="61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402167</xdr:colOff>
      <xdr:row>8</xdr:row>
      <xdr:rowOff>63209</xdr:rowOff>
    </xdr:from>
    <xdr:to>
      <xdr:col>17</xdr:col>
      <xdr:colOff>143009</xdr:colOff>
      <xdr:row>18</xdr:row>
      <xdr:rowOff>4543</xdr:rowOff>
    </xdr:to>
    <xdr:sp macro="" textlink="">
      <xdr:nvSpPr>
        <xdr:cNvPr id="54" name="Rectangle: Rounded Corners 53">
          <a:extLst>
            <a:ext uri="{FF2B5EF4-FFF2-40B4-BE49-F238E27FC236}">
              <a16:creationId xmlns:a16="http://schemas.microsoft.com/office/drawing/2014/main" id="{E779D046-4D5F-40C7-86EE-7E1D862C2E49}"/>
            </a:ext>
          </a:extLst>
        </xdr:cNvPr>
        <xdr:cNvSpPr/>
      </xdr:nvSpPr>
      <xdr:spPr>
        <a:xfrm>
          <a:off x="7069667" y="1517936"/>
          <a:ext cx="3377660" cy="1759743"/>
        </a:xfrm>
        <a:prstGeom prst="roundRect">
          <a:avLst>
            <a:gd name="adj" fmla="val 12895"/>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5</xdr:col>
      <xdr:colOff>478014</xdr:colOff>
      <xdr:row>8</xdr:row>
      <xdr:rowOff>62385</xdr:rowOff>
    </xdr:from>
    <xdr:to>
      <xdr:col>11</xdr:col>
      <xdr:colOff>218856</xdr:colOff>
      <xdr:row>18</xdr:row>
      <xdr:rowOff>3719</xdr:rowOff>
    </xdr:to>
    <xdr:sp macro="" textlink="">
      <xdr:nvSpPr>
        <xdr:cNvPr id="53" name="Rectangle: Rounded Corners 52">
          <a:extLst>
            <a:ext uri="{FF2B5EF4-FFF2-40B4-BE49-F238E27FC236}">
              <a16:creationId xmlns:a16="http://schemas.microsoft.com/office/drawing/2014/main" id="{92E9DF06-5CCE-412D-B0F6-F73246FB8F24}"/>
            </a:ext>
          </a:extLst>
        </xdr:cNvPr>
        <xdr:cNvSpPr/>
      </xdr:nvSpPr>
      <xdr:spPr>
        <a:xfrm>
          <a:off x="3508696" y="1517112"/>
          <a:ext cx="3377660" cy="1759743"/>
        </a:xfrm>
        <a:prstGeom prst="roundRect">
          <a:avLst>
            <a:gd name="adj" fmla="val 12895"/>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0</xdr:col>
      <xdr:colOff>30480</xdr:colOff>
      <xdr:row>0</xdr:row>
      <xdr:rowOff>7620</xdr:rowOff>
    </xdr:from>
    <xdr:to>
      <xdr:col>23</xdr:col>
      <xdr:colOff>99060</xdr:colOff>
      <xdr:row>3</xdr:row>
      <xdr:rowOff>114865</xdr:rowOff>
    </xdr:to>
    <xdr:grpSp>
      <xdr:nvGrpSpPr>
        <xdr:cNvPr id="2" name="Group 1">
          <a:extLst>
            <a:ext uri="{FF2B5EF4-FFF2-40B4-BE49-F238E27FC236}">
              <a16:creationId xmlns:a16="http://schemas.microsoft.com/office/drawing/2014/main" id="{10718BB4-F71F-4607-9B36-6FDF62A0576C}"/>
            </a:ext>
          </a:extLst>
        </xdr:cNvPr>
        <xdr:cNvGrpSpPr/>
      </xdr:nvGrpSpPr>
      <xdr:grpSpPr>
        <a:xfrm>
          <a:off x="30480" y="7620"/>
          <a:ext cx="14017845" cy="667082"/>
          <a:chOff x="30480" y="11185"/>
          <a:chExt cx="14089380" cy="655885"/>
        </a:xfrm>
      </xdr:grpSpPr>
      <xdr:grpSp>
        <xdr:nvGrpSpPr>
          <xdr:cNvPr id="3" name="Group 2">
            <a:extLst>
              <a:ext uri="{FF2B5EF4-FFF2-40B4-BE49-F238E27FC236}">
                <a16:creationId xmlns:a16="http://schemas.microsoft.com/office/drawing/2014/main" id="{B9B7E48D-6CDA-11D2-34C2-3BDE1C548412}"/>
              </a:ext>
            </a:extLst>
          </xdr:cNvPr>
          <xdr:cNvGrpSpPr/>
        </xdr:nvGrpSpPr>
        <xdr:grpSpPr>
          <a:xfrm>
            <a:off x="30480" y="11185"/>
            <a:ext cx="14089380" cy="655885"/>
            <a:chOff x="30480" y="11185"/>
            <a:chExt cx="14089380" cy="655885"/>
          </a:xfrm>
        </xdr:grpSpPr>
        <xdr:sp macro="" textlink="">
          <xdr:nvSpPr>
            <xdr:cNvPr id="8" name="Rectangle: Rounded Corners 7">
              <a:extLst>
                <a:ext uri="{FF2B5EF4-FFF2-40B4-BE49-F238E27FC236}">
                  <a16:creationId xmlns:a16="http://schemas.microsoft.com/office/drawing/2014/main" id="{A9011D51-FC7D-B2E5-2706-920D1B70387D}"/>
                </a:ext>
              </a:extLst>
            </xdr:cNvPr>
            <xdr:cNvSpPr/>
          </xdr:nvSpPr>
          <xdr:spPr>
            <a:xfrm>
              <a:off x="30480" y="30480"/>
              <a:ext cx="14089380" cy="617220"/>
            </a:xfrm>
            <a:prstGeom prst="roundRect">
              <a:avLst>
                <a:gd name="adj" fmla="val 30247"/>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 name="Picture 8">
              <a:hlinkClick xmlns:r="http://schemas.openxmlformats.org/officeDocument/2006/relationships" r:id="rId1"/>
              <a:extLst>
                <a:ext uri="{FF2B5EF4-FFF2-40B4-BE49-F238E27FC236}">
                  <a16:creationId xmlns:a16="http://schemas.microsoft.com/office/drawing/2014/main" id="{6F962C1A-A838-DA14-2F3C-C989E4F955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3737" y="41222"/>
              <a:ext cx="563880" cy="562827"/>
            </a:xfrm>
            <a:prstGeom prst="rect">
              <a:avLst/>
            </a:prstGeom>
            <a:ln>
              <a:noFill/>
            </a:ln>
          </xdr:spPr>
        </xdr:pic>
        <xdr:sp macro="" textlink="">
          <xdr:nvSpPr>
            <xdr:cNvPr id="10" name="TextBox 9">
              <a:extLst>
                <a:ext uri="{FF2B5EF4-FFF2-40B4-BE49-F238E27FC236}">
                  <a16:creationId xmlns:a16="http://schemas.microsoft.com/office/drawing/2014/main" id="{B564626F-B89B-EEEC-C5DC-F6A325980A41}"/>
                </a:ext>
              </a:extLst>
            </xdr:cNvPr>
            <xdr:cNvSpPr txBox="1"/>
          </xdr:nvSpPr>
          <xdr:spPr>
            <a:xfrm>
              <a:off x="1060640" y="11185"/>
              <a:ext cx="492868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3600">
                  <a:solidFill>
                    <a:srgbClr val="F2F2F2"/>
                  </a:solidFill>
                </a:rPr>
                <a:t>MISUO Sales Dashboard</a:t>
              </a:r>
              <a:endParaRPr lang="en-US" sz="1800">
                <a:solidFill>
                  <a:srgbClr val="F2F2F2"/>
                </a:solidFill>
              </a:endParaRPr>
            </a:p>
          </xdr:txBody>
        </xdr:sp>
      </xdr:grpSp>
      <xdr:grpSp>
        <xdr:nvGrpSpPr>
          <xdr:cNvPr id="4" name="Group 3">
            <a:extLst>
              <a:ext uri="{FF2B5EF4-FFF2-40B4-BE49-F238E27FC236}">
                <a16:creationId xmlns:a16="http://schemas.microsoft.com/office/drawing/2014/main" id="{99192A79-9338-F6A9-F40E-77401A76186F}"/>
              </a:ext>
            </a:extLst>
          </xdr:cNvPr>
          <xdr:cNvGrpSpPr/>
        </xdr:nvGrpSpPr>
        <xdr:grpSpPr>
          <a:xfrm>
            <a:off x="7229517" y="152417"/>
            <a:ext cx="6718315" cy="365758"/>
            <a:chOff x="7229517" y="152417"/>
            <a:chExt cx="6718315" cy="365758"/>
          </a:xfrm>
        </xdr:grpSpPr>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549D05A-FB6B-E165-0542-6ED5DBB26D32}"/>
                </a:ext>
              </a:extLst>
            </xdr:cNvPr>
            <xdr:cNvSpPr/>
          </xdr:nvSpPr>
          <xdr:spPr>
            <a:xfrm>
              <a:off x="7229517" y="152417"/>
              <a:ext cx="2139523" cy="365758"/>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lt1"/>
                  </a:solidFill>
                  <a:latin typeface="+mn-lt"/>
                  <a:ea typeface="+mn-ea"/>
                  <a:cs typeface="+mn-cs"/>
                </a:rPr>
                <a:t>Overview</a:t>
              </a:r>
            </a:p>
          </xdr:txBody>
        </xdr:sp>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ADDA344A-8260-746D-B118-1FB098300398}"/>
                </a:ext>
              </a:extLst>
            </xdr:cNvPr>
            <xdr:cNvSpPr/>
          </xdr:nvSpPr>
          <xdr:spPr>
            <a:xfrm>
              <a:off x="11804604" y="152417"/>
              <a:ext cx="2143228" cy="365758"/>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t>Product &amp; Customer Analysis</a:t>
              </a:r>
              <a:endParaRPr lang="en-US" sz="1200" b="1">
                <a:solidFill>
                  <a:schemeClr val="lt1"/>
                </a:solidFill>
                <a:latin typeface="+mn-lt"/>
                <a:ea typeface="+mn-ea"/>
                <a:cs typeface="+mn-cs"/>
              </a:endParaRPr>
            </a:p>
          </xdr:txBody>
        </xdr:sp>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CDBAFE44-7B06-C0B5-8DBB-32F8703610A2}"/>
                </a:ext>
              </a:extLst>
            </xdr:cNvPr>
            <xdr:cNvSpPr/>
          </xdr:nvSpPr>
          <xdr:spPr>
            <a:xfrm>
              <a:off x="9514994" y="152417"/>
              <a:ext cx="2143655" cy="365756"/>
            </a:xfrm>
            <a:prstGeom prst="roundRect">
              <a:avLst>
                <a:gd name="adj" fmla="val 50000"/>
              </a:avLst>
            </a:prstGeom>
            <a:solidFill>
              <a:srgbClr val="B309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lt1"/>
                  </a:solidFill>
                  <a:latin typeface="+mn-lt"/>
                  <a:ea typeface="+mn-ea"/>
                  <a:cs typeface="+mn-cs"/>
                </a:rPr>
                <a:t>Sales &amp; Market Analysis</a:t>
              </a:r>
            </a:p>
          </xdr:txBody>
        </xdr:sp>
      </xdr:grpSp>
    </xdr:grpSp>
    <xdr:clientData/>
  </xdr:twoCellAnchor>
  <xdr:twoCellAnchor>
    <xdr:from>
      <xdr:col>0</xdr:col>
      <xdr:colOff>46522</xdr:colOff>
      <xdr:row>3</xdr:row>
      <xdr:rowOff>175260</xdr:rowOff>
    </xdr:from>
    <xdr:to>
      <xdr:col>2</xdr:col>
      <xdr:colOff>426172</xdr:colOff>
      <xdr:row>7</xdr:row>
      <xdr:rowOff>165885</xdr:rowOff>
    </xdr:to>
    <xdr:grpSp>
      <xdr:nvGrpSpPr>
        <xdr:cNvPr id="11" name="Group 10">
          <a:extLst>
            <a:ext uri="{FF2B5EF4-FFF2-40B4-BE49-F238E27FC236}">
              <a16:creationId xmlns:a16="http://schemas.microsoft.com/office/drawing/2014/main" id="{4A517E12-0F38-4646-8D1E-BFB35E1C43E7}"/>
            </a:ext>
          </a:extLst>
        </xdr:cNvPr>
        <xdr:cNvGrpSpPr/>
      </xdr:nvGrpSpPr>
      <xdr:grpSpPr>
        <a:xfrm>
          <a:off x="46522" y="735097"/>
          <a:ext cx="1592630" cy="737074"/>
          <a:chOff x="30480" y="771474"/>
          <a:chExt cx="1598850" cy="722145"/>
        </a:xfrm>
        <a:solidFill>
          <a:srgbClr val="1B2A49"/>
        </a:solidFill>
      </xdr:grpSpPr>
      <xdr:sp macro="" textlink="">
        <xdr:nvSpPr>
          <xdr:cNvPr id="12" name="Rectangle: Rounded Corners 11">
            <a:extLst>
              <a:ext uri="{FF2B5EF4-FFF2-40B4-BE49-F238E27FC236}">
                <a16:creationId xmlns:a16="http://schemas.microsoft.com/office/drawing/2014/main" id="{7DCCF9D6-DE58-F3F1-C177-79B171617299}"/>
              </a:ext>
            </a:extLst>
          </xdr:cNvPr>
          <xdr:cNvSpPr/>
        </xdr:nvSpPr>
        <xdr:spPr>
          <a:xfrm>
            <a:off x="30480" y="771474"/>
            <a:ext cx="1598850"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DBDBDB"/>
                </a:solidFill>
              </a:rPr>
              <a:t>Total Sales</a:t>
            </a:r>
          </a:p>
        </xdr:txBody>
      </xdr:sp>
      <xdr:sp macro="" textlink="Pivot_Tables!D8">
        <xdr:nvSpPr>
          <xdr:cNvPr id="13" name="TextBox 12">
            <a:extLst>
              <a:ext uri="{FF2B5EF4-FFF2-40B4-BE49-F238E27FC236}">
                <a16:creationId xmlns:a16="http://schemas.microsoft.com/office/drawing/2014/main" id="{49523E36-8F79-0F4C-546A-2EDE7C5D3030}"/>
              </a:ext>
            </a:extLst>
          </xdr:cNvPr>
          <xdr:cNvSpPr txBox="1"/>
        </xdr:nvSpPr>
        <xdr:spPr>
          <a:xfrm>
            <a:off x="272142" y="1111896"/>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4DE859-0794-4F30-A3FB-AA29A7DC7A0B}" type="TxLink">
              <a:rPr lang="en-US" sz="1200" b="1" i="0" u="none" strike="noStrike">
                <a:solidFill>
                  <a:srgbClr val="DBDBDB"/>
                </a:solidFill>
                <a:latin typeface="Calibri"/>
                <a:ea typeface="Calibri"/>
                <a:cs typeface="Calibri"/>
              </a:rPr>
              <a:pPr algn="ctr"/>
              <a:t> 1,254,292 </a:t>
            </a:fld>
            <a:endParaRPr lang="en-US" sz="1400" b="1">
              <a:solidFill>
                <a:srgbClr val="DBDBDB"/>
              </a:solidFill>
            </a:endParaRPr>
          </a:p>
        </xdr:txBody>
      </xdr:sp>
    </xdr:grpSp>
    <xdr:clientData/>
  </xdr:twoCellAnchor>
  <xdr:twoCellAnchor>
    <xdr:from>
      <xdr:col>2</xdr:col>
      <xdr:colOff>598594</xdr:colOff>
      <xdr:row>3</xdr:row>
      <xdr:rowOff>175260</xdr:rowOff>
    </xdr:from>
    <xdr:to>
      <xdr:col>5</xdr:col>
      <xdr:colOff>362391</xdr:colOff>
      <xdr:row>7</xdr:row>
      <xdr:rowOff>165885</xdr:rowOff>
    </xdr:to>
    <xdr:grpSp>
      <xdr:nvGrpSpPr>
        <xdr:cNvPr id="14" name="Group 13">
          <a:extLst>
            <a:ext uri="{FF2B5EF4-FFF2-40B4-BE49-F238E27FC236}">
              <a16:creationId xmlns:a16="http://schemas.microsoft.com/office/drawing/2014/main" id="{4005AC1F-5D5E-4F8C-8FD9-412146E77DA3}"/>
            </a:ext>
          </a:extLst>
        </xdr:cNvPr>
        <xdr:cNvGrpSpPr/>
      </xdr:nvGrpSpPr>
      <xdr:grpSpPr>
        <a:xfrm>
          <a:off x="1811574" y="735097"/>
          <a:ext cx="1583266" cy="737074"/>
          <a:chOff x="1812183" y="771474"/>
          <a:chExt cx="1592597" cy="722145"/>
        </a:xfrm>
        <a:solidFill>
          <a:srgbClr val="1B2A49"/>
        </a:solidFill>
      </xdr:grpSpPr>
      <xdr:sp macro="" textlink="">
        <xdr:nvSpPr>
          <xdr:cNvPr id="15" name="Rectangle: Rounded Corners 14">
            <a:extLst>
              <a:ext uri="{FF2B5EF4-FFF2-40B4-BE49-F238E27FC236}">
                <a16:creationId xmlns:a16="http://schemas.microsoft.com/office/drawing/2014/main" id="{BB8A0E29-8980-5880-8671-804A82B582AB}"/>
              </a:ext>
            </a:extLst>
          </xdr:cNvPr>
          <xdr:cNvSpPr/>
        </xdr:nvSpPr>
        <xdr:spPr>
          <a:xfrm>
            <a:off x="1812183" y="771474"/>
            <a:ext cx="1592597"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DBDBDB"/>
                </a:solidFill>
              </a:rPr>
              <a:t>Total Orders</a:t>
            </a:r>
          </a:p>
        </xdr:txBody>
      </xdr:sp>
      <xdr:sp macro="" textlink="Pivot_Tables!D15">
        <xdr:nvSpPr>
          <xdr:cNvPr id="16" name="TextBox 15">
            <a:extLst>
              <a:ext uri="{FF2B5EF4-FFF2-40B4-BE49-F238E27FC236}">
                <a16:creationId xmlns:a16="http://schemas.microsoft.com/office/drawing/2014/main" id="{819D7873-2DFC-439F-F84C-D23AF28E4FF3}"/>
              </a:ext>
            </a:extLst>
          </xdr:cNvPr>
          <xdr:cNvSpPr txBox="1"/>
        </xdr:nvSpPr>
        <xdr:spPr>
          <a:xfrm>
            <a:off x="2083836" y="1119672"/>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30BDDB-0AE5-4DCF-B5F4-FA6846FDFD99}" type="TxLink">
              <a:rPr lang="en-US" sz="1200" b="1" i="0" u="none" strike="noStrike">
                <a:solidFill>
                  <a:srgbClr val="DBDBDB"/>
                </a:solidFill>
                <a:latin typeface="Calibri"/>
                <a:ea typeface="Calibri"/>
                <a:cs typeface="Calibri"/>
              </a:rPr>
              <a:pPr algn="ctr"/>
              <a:t>120</a:t>
            </a:fld>
            <a:endParaRPr lang="en-US" sz="1600" b="1">
              <a:solidFill>
                <a:srgbClr val="DBDBDB"/>
              </a:solidFill>
            </a:endParaRPr>
          </a:p>
        </xdr:txBody>
      </xdr:sp>
    </xdr:grpSp>
    <xdr:clientData/>
  </xdr:twoCellAnchor>
  <xdr:twoCellAnchor>
    <xdr:from>
      <xdr:col>5</xdr:col>
      <xdr:colOff>534813</xdr:colOff>
      <xdr:row>3</xdr:row>
      <xdr:rowOff>175260</xdr:rowOff>
    </xdr:from>
    <xdr:to>
      <xdr:col>8</xdr:col>
      <xdr:colOff>298609</xdr:colOff>
      <xdr:row>7</xdr:row>
      <xdr:rowOff>160712</xdr:rowOff>
    </xdr:to>
    <xdr:grpSp>
      <xdr:nvGrpSpPr>
        <xdr:cNvPr id="17" name="Group 16">
          <a:extLst>
            <a:ext uri="{FF2B5EF4-FFF2-40B4-BE49-F238E27FC236}">
              <a16:creationId xmlns:a16="http://schemas.microsoft.com/office/drawing/2014/main" id="{3953DF7F-99A7-489C-88C9-D65D0E3ADAC4}"/>
            </a:ext>
          </a:extLst>
        </xdr:cNvPr>
        <xdr:cNvGrpSpPr/>
      </xdr:nvGrpSpPr>
      <xdr:grpSpPr>
        <a:xfrm>
          <a:off x="3567262" y="735097"/>
          <a:ext cx="1583265" cy="731901"/>
          <a:chOff x="3587633" y="771474"/>
          <a:chExt cx="1592596" cy="716972"/>
        </a:xfrm>
        <a:solidFill>
          <a:srgbClr val="DBDBDB"/>
        </a:solidFill>
      </xdr:grpSpPr>
      <xdr:sp macro="" textlink="">
        <xdr:nvSpPr>
          <xdr:cNvPr id="18" name="Rectangle: Rounded Corners 17">
            <a:extLst>
              <a:ext uri="{FF2B5EF4-FFF2-40B4-BE49-F238E27FC236}">
                <a16:creationId xmlns:a16="http://schemas.microsoft.com/office/drawing/2014/main" id="{BF42E42A-1EC1-C278-8883-A737A0DDC9DF}"/>
              </a:ext>
            </a:extLst>
          </xdr:cNvPr>
          <xdr:cNvSpPr/>
        </xdr:nvSpPr>
        <xdr:spPr>
          <a:xfrm>
            <a:off x="3587633" y="771474"/>
            <a:ext cx="1592596" cy="716972"/>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Average Price</a:t>
            </a:r>
            <a:endParaRPr lang="en-US" sz="1200" b="1">
              <a:solidFill>
                <a:srgbClr val="1B2A49"/>
              </a:solidFill>
            </a:endParaRPr>
          </a:p>
        </xdr:txBody>
      </xdr:sp>
      <xdr:sp macro="" textlink="Pivot_Tables!D22">
        <xdr:nvSpPr>
          <xdr:cNvPr id="19" name="TextBox 18">
            <a:extLst>
              <a:ext uri="{FF2B5EF4-FFF2-40B4-BE49-F238E27FC236}">
                <a16:creationId xmlns:a16="http://schemas.microsoft.com/office/drawing/2014/main" id="{D00598AD-E6CC-1EA1-6698-8EE7426992F5}"/>
              </a:ext>
            </a:extLst>
          </xdr:cNvPr>
          <xdr:cNvSpPr txBox="1"/>
        </xdr:nvSpPr>
        <xdr:spPr>
          <a:xfrm>
            <a:off x="3853541" y="1108786"/>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D48EF-49CC-4BA4-8100-92DCDA751650}" type="TxLink">
              <a:rPr lang="en-US" sz="1200" b="1" i="0" u="none" strike="noStrike">
                <a:solidFill>
                  <a:srgbClr val="1B2A49"/>
                </a:solidFill>
                <a:latin typeface="Calibri"/>
                <a:ea typeface="Calibri"/>
                <a:cs typeface="Calibri"/>
              </a:rPr>
              <a:pPr algn="ctr"/>
              <a:t> 10,452 </a:t>
            </a:fld>
            <a:endParaRPr lang="en-US" sz="1600" b="1">
              <a:solidFill>
                <a:srgbClr val="1B2A49"/>
              </a:solidFill>
            </a:endParaRPr>
          </a:p>
        </xdr:txBody>
      </xdr:sp>
    </xdr:grpSp>
    <xdr:clientData/>
  </xdr:twoCellAnchor>
  <xdr:twoCellAnchor>
    <xdr:from>
      <xdr:col>8</xdr:col>
      <xdr:colOff>471031</xdr:colOff>
      <xdr:row>3</xdr:row>
      <xdr:rowOff>175260</xdr:rowOff>
    </xdr:from>
    <xdr:to>
      <xdr:col>11</xdr:col>
      <xdr:colOff>234254</xdr:colOff>
      <xdr:row>7</xdr:row>
      <xdr:rowOff>165886</xdr:rowOff>
    </xdr:to>
    <xdr:grpSp>
      <xdr:nvGrpSpPr>
        <xdr:cNvPr id="20" name="Group 19">
          <a:extLst>
            <a:ext uri="{FF2B5EF4-FFF2-40B4-BE49-F238E27FC236}">
              <a16:creationId xmlns:a16="http://schemas.microsoft.com/office/drawing/2014/main" id="{C633D3B1-B250-4A31-88FF-BF9B6CE79E88}"/>
            </a:ext>
          </a:extLst>
        </xdr:cNvPr>
        <xdr:cNvGrpSpPr/>
      </xdr:nvGrpSpPr>
      <xdr:grpSpPr>
        <a:xfrm>
          <a:off x="5322949" y="735097"/>
          <a:ext cx="1582693" cy="737075"/>
          <a:chOff x="5363082" y="771474"/>
          <a:chExt cx="1592023" cy="722146"/>
        </a:xfrm>
        <a:solidFill>
          <a:srgbClr val="DBDBDB"/>
        </a:solidFill>
      </xdr:grpSpPr>
      <xdr:sp macro="" textlink="">
        <xdr:nvSpPr>
          <xdr:cNvPr id="21" name="Rectangle: Rounded Corners 20">
            <a:extLst>
              <a:ext uri="{FF2B5EF4-FFF2-40B4-BE49-F238E27FC236}">
                <a16:creationId xmlns:a16="http://schemas.microsoft.com/office/drawing/2014/main" id="{0A72F968-FED0-4340-3E34-513498955CB7}"/>
              </a:ext>
            </a:extLst>
          </xdr:cNvPr>
          <xdr:cNvSpPr/>
        </xdr:nvSpPr>
        <xdr:spPr>
          <a:xfrm>
            <a:off x="5363082" y="771474"/>
            <a:ext cx="1592023" cy="722146"/>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On-Time Rate</a:t>
            </a:r>
          </a:p>
        </xdr:txBody>
      </xdr:sp>
      <xdr:sp macro="" textlink="Pivot_Tables!AL9">
        <xdr:nvSpPr>
          <xdr:cNvPr id="22" name="TextBox 21">
            <a:extLst>
              <a:ext uri="{FF2B5EF4-FFF2-40B4-BE49-F238E27FC236}">
                <a16:creationId xmlns:a16="http://schemas.microsoft.com/office/drawing/2014/main" id="{5E054F43-2CED-BE01-B518-AF91088F796A}"/>
              </a:ext>
            </a:extLst>
          </xdr:cNvPr>
          <xdr:cNvSpPr txBox="1"/>
        </xdr:nvSpPr>
        <xdr:spPr>
          <a:xfrm>
            <a:off x="5638804" y="1121223"/>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3813DD-9703-466A-B7A4-796F8834367E}" type="TxLink">
              <a:rPr lang="en-US" sz="1200" b="1" i="0" u="none" strike="noStrike">
                <a:solidFill>
                  <a:srgbClr val="1B2A49"/>
                </a:solidFill>
                <a:latin typeface="Calibri"/>
                <a:ea typeface="Calibri"/>
                <a:cs typeface="Calibri"/>
              </a:rPr>
              <a:pPr algn="ctr"/>
              <a:t>4%</a:t>
            </a:fld>
            <a:endParaRPr lang="en-US" sz="1600" b="1">
              <a:solidFill>
                <a:srgbClr val="1B2A49"/>
              </a:solidFill>
            </a:endParaRPr>
          </a:p>
        </xdr:txBody>
      </xdr:sp>
    </xdr:grpSp>
    <xdr:clientData/>
  </xdr:twoCellAnchor>
  <xdr:twoCellAnchor>
    <xdr:from>
      <xdr:col>11</xdr:col>
      <xdr:colOff>406676</xdr:colOff>
      <xdr:row>3</xdr:row>
      <xdr:rowOff>175260</xdr:rowOff>
    </xdr:from>
    <xdr:to>
      <xdr:col>14</xdr:col>
      <xdr:colOff>169898</xdr:colOff>
      <xdr:row>7</xdr:row>
      <xdr:rowOff>165884</xdr:rowOff>
    </xdr:to>
    <xdr:grpSp>
      <xdr:nvGrpSpPr>
        <xdr:cNvPr id="23" name="Group 22">
          <a:extLst>
            <a:ext uri="{FF2B5EF4-FFF2-40B4-BE49-F238E27FC236}">
              <a16:creationId xmlns:a16="http://schemas.microsoft.com/office/drawing/2014/main" id="{E059A55E-973C-40B0-8525-CEBBB36C1E78}"/>
            </a:ext>
          </a:extLst>
        </xdr:cNvPr>
        <xdr:cNvGrpSpPr/>
      </xdr:nvGrpSpPr>
      <xdr:grpSpPr>
        <a:xfrm>
          <a:off x="7078064" y="735097"/>
          <a:ext cx="1582691" cy="737073"/>
          <a:chOff x="7137958" y="771474"/>
          <a:chExt cx="1592022" cy="722144"/>
        </a:xfrm>
        <a:solidFill>
          <a:srgbClr val="1B2A49"/>
        </a:solidFill>
      </xdr:grpSpPr>
      <xdr:sp macro="" textlink="">
        <xdr:nvSpPr>
          <xdr:cNvPr id="24" name="Rectangle: Rounded Corners 23">
            <a:extLst>
              <a:ext uri="{FF2B5EF4-FFF2-40B4-BE49-F238E27FC236}">
                <a16:creationId xmlns:a16="http://schemas.microsoft.com/office/drawing/2014/main" id="{6458AE72-A7DF-4167-6936-978DDD778523}"/>
              </a:ext>
            </a:extLst>
          </xdr:cNvPr>
          <xdr:cNvSpPr/>
        </xdr:nvSpPr>
        <xdr:spPr>
          <a:xfrm>
            <a:off x="7137958" y="771474"/>
            <a:ext cx="1592022" cy="722144"/>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DBDBDB"/>
                </a:solidFill>
              </a:rPr>
              <a:t>Top Product</a:t>
            </a:r>
          </a:p>
        </xdr:txBody>
      </xdr:sp>
      <xdr:sp macro="" textlink="Pivot_Tables!P24">
        <xdr:nvSpPr>
          <xdr:cNvPr id="25" name="TextBox 24">
            <a:extLst>
              <a:ext uri="{FF2B5EF4-FFF2-40B4-BE49-F238E27FC236}">
                <a16:creationId xmlns:a16="http://schemas.microsoft.com/office/drawing/2014/main" id="{07D36DF4-138C-4B00-E203-6A44D184EDCC}"/>
              </a:ext>
            </a:extLst>
          </xdr:cNvPr>
          <xdr:cNvSpPr txBox="1"/>
        </xdr:nvSpPr>
        <xdr:spPr>
          <a:xfrm>
            <a:off x="7408522" y="1125882"/>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5E5436-731F-4D3C-97B6-81976E5D9D8C}" type="TxLink">
              <a:rPr lang="ar-SA" sz="1200" b="0" i="0" u="none" strike="noStrike">
                <a:solidFill>
                  <a:srgbClr val="DBDBDB"/>
                </a:solidFill>
                <a:latin typeface="Calibri"/>
                <a:ea typeface="Calibri"/>
                <a:cs typeface="Calibri"/>
              </a:rPr>
              <a:pPr algn="ctr"/>
              <a:t>سرير</a:t>
            </a:fld>
            <a:endParaRPr lang="en-US" sz="1600" b="1">
              <a:solidFill>
                <a:srgbClr val="DBDBDB"/>
              </a:solidFill>
            </a:endParaRPr>
          </a:p>
        </xdr:txBody>
      </xdr:sp>
    </xdr:grpSp>
    <xdr:clientData/>
  </xdr:twoCellAnchor>
  <xdr:twoCellAnchor>
    <xdr:from>
      <xdr:col>14</xdr:col>
      <xdr:colOff>342320</xdr:colOff>
      <xdr:row>3</xdr:row>
      <xdr:rowOff>175260</xdr:rowOff>
    </xdr:from>
    <xdr:to>
      <xdr:col>17</xdr:col>
      <xdr:colOff>106118</xdr:colOff>
      <xdr:row>7</xdr:row>
      <xdr:rowOff>165885</xdr:rowOff>
    </xdr:to>
    <xdr:grpSp>
      <xdr:nvGrpSpPr>
        <xdr:cNvPr id="26" name="Group 25">
          <a:extLst>
            <a:ext uri="{FF2B5EF4-FFF2-40B4-BE49-F238E27FC236}">
              <a16:creationId xmlns:a16="http://schemas.microsoft.com/office/drawing/2014/main" id="{2A9E9203-C136-4607-9891-838FEF641897}"/>
            </a:ext>
          </a:extLst>
        </xdr:cNvPr>
        <xdr:cNvGrpSpPr/>
      </xdr:nvGrpSpPr>
      <xdr:grpSpPr>
        <a:xfrm>
          <a:off x="8833177" y="735097"/>
          <a:ext cx="1583268" cy="737074"/>
          <a:chOff x="8912833" y="771474"/>
          <a:chExt cx="1592598" cy="722145"/>
        </a:xfrm>
        <a:solidFill>
          <a:srgbClr val="1B2A49"/>
        </a:solidFill>
      </xdr:grpSpPr>
      <xdr:sp macro="" textlink="">
        <xdr:nvSpPr>
          <xdr:cNvPr id="27" name="Rectangle: Rounded Corners 26">
            <a:extLst>
              <a:ext uri="{FF2B5EF4-FFF2-40B4-BE49-F238E27FC236}">
                <a16:creationId xmlns:a16="http://schemas.microsoft.com/office/drawing/2014/main" id="{94152E9A-E26A-35F0-2407-6402F890CED2}"/>
              </a:ext>
            </a:extLst>
          </xdr:cNvPr>
          <xdr:cNvSpPr/>
        </xdr:nvSpPr>
        <xdr:spPr>
          <a:xfrm>
            <a:off x="8912833" y="771474"/>
            <a:ext cx="1592598"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DBDBDB"/>
                </a:solidFill>
              </a:rPr>
              <a:t>Best Color Sold</a:t>
            </a:r>
          </a:p>
        </xdr:txBody>
      </xdr:sp>
      <xdr:sp macro="" textlink="Pivot_Tables!P37">
        <xdr:nvSpPr>
          <xdr:cNvPr id="28" name="TextBox 27">
            <a:extLst>
              <a:ext uri="{FF2B5EF4-FFF2-40B4-BE49-F238E27FC236}">
                <a16:creationId xmlns:a16="http://schemas.microsoft.com/office/drawing/2014/main" id="{BC889432-BBE0-6B7F-E91E-F8E5CA6611D7}"/>
              </a:ext>
            </a:extLst>
          </xdr:cNvPr>
          <xdr:cNvSpPr txBox="1"/>
        </xdr:nvSpPr>
        <xdr:spPr>
          <a:xfrm>
            <a:off x="9178235" y="1138317"/>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4A37DB-AA70-4BDD-90B5-612CC58C0D4F}" type="TxLink">
              <a:rPr lang="ar-SA" sz="1200" b="1" i="0" u="none" strike="noStrike">
                <a:solidFill>
                  <a:srgbClr val="DBDBDB"/>
                </a:solidFill>
                <a:latin typeface="Calibri"/>
                <a:ea typeface="Calibri"/>
                <a:cs typeface="Calibri"/>
              </a:rPr>
              <a:pPr algn="ctr"/>
              <a:t>اسود</a:t>
            </a:fld>
            <a:endParaRPr lang="en-US" sz="1600" b="1">
              <a:solidFill>
                <a:srgbClr val="DBDBDB"/>
              </a:solidFill>
            </a:endParaRPr>
          </a:p>
        </xdr:txBody>
      </xdr:sp>
    </xdr:grpSp>
    <xdr:clientData/>
  </xdr:twoCellAnchor>
  <xdr:twoCellAnchor>
    <xdr:from>
      <xdr:col>17</xdr:col>
      <xdr:colOff>278540</xdr:colOff>
      <xdr:row>3</xdr:row>
      <xdr:rowOff>175260</xdr:rowOff>
    </xdr:from>
    <xdr:to>
      <xdr:col>20</xdr:col>
      <xdr:colOff>42337</xdr:colOff>
      <xdr:row>7</xdr:row>
      <xdr:rowOff>165886</xdr:rowOff>
    </xdr:to>
    <xdr:grpSp>
      <xdr:nvGrpSpPr>
        <xdr:cNvPr id="29" name="Group 28">
          <a:extLst>
            <a:ext uri="{FF2B5EF4-FFF2-40B4-BE49-F238E27FC236}">
              <a16:creationId xmlns:a16="http://schemas.microsoft.com/office/drawing/2014/main" id="{CF2F6A94-7B52-4C86-B0CE-56B8181C633C}"/>
            </a:ext>
          </a:extLst>
        </xdr:cNvPr>
        <xdr:cNvGrpSpPr/>
      </xdr:nvGrpSpPr>
      <xdr:grpSpPr>
        <a:xfrm>
          <a:off x="10588867" y="735097"/>
          <a:ext cx="1583266" cy="737075"/>
          <a:chOff x="10688284" y="771474"/>
          <a:chExt cx="1592597" cy="722146"/>
        </a:xfrm>
        <a:solidFill>
          <a:srgbClr val="DBDBDB"/>
        </a:solidFill>
      </xdr:grpSpPr>
      <xdr:sp macro="" textlink="">
        <xdr:nvSpPr>
          <xdr:cNvPr id="30" name="Rectangle: Rounded Corners 29">
            <a:extLst>
              <a:ext uri="{FF2B5EF4-FFF2-40B4-BE49-F238E27FC236}">
                <a16:creationId xmlns:a16="http://schemas.microsoft.com/office/drawing/2014/main" id="{11FFC411-C601-B87E-AA75-0B372E7E4288}"/>
              </a:ext>
            </a:extLst>
          </xdr:cNvPr>
          <xdr:cNvSpPr/>
        </xdr:nvSpPr>
        <xdr:spPr>
          <a:xfrm>
            <a:off x="10688284" y="771474"/>
            <a:ext cx="1592597" cy="722146"/>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rgbClr val="1B2A49"/>
                </a:solidFill>
              </a:rPr>
              <a:t>Top Selling City</a:t>
            </a:r>
          </a:p>
        </xdr:txBody>
      </xdr:sp>
      <xdr:sp macro="" textlink="Pivot_Tables!AY12">
        <xdr:nvSpPr>
          <xdr:cNvPr id="31" name="TextBox 30">
            <a:extLst>
              <a:ext uri="{FF2B5EF4-FFF2-40B4-BE49-F238E27FC236}">
                <a16:creationId xmlns:a16="http://schemas.microsoft.com/office/drawing/2014/main" id="{06267C9B-EA82-E7C0-DF73-BDC3109D5E49}"/>
              </a:ext>
            </a:extLst>
          </xdr:cNvPr>
          <xdr:cNvSpPr txBox="1"/>
        </xdr:nvSpPr>
        <xdr:spPr>
          <a:xfrm>
            <a:off x="10955735" y="1142974"/>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DEB86E-44EB-436C-ADBB-9E03671F7C01}" type="TxLink">
              <a:rPr lang="ar-SA" sz="1200" b="1" i="0" u="none" strike="noStrike">
                <a:solidFill>
                  <a:srgbClr val="1B2A49"/>
                </a:solidFill>
                <a:latin typeface="Calibri"/>
                <a:ea typeface="Calibri"/>
                <a:cs typeface="Calibri"/>
              </a:rPr>
              <a:pPr algn="ctr"/>
              <a:t>القاهرة</a:t>
            </a:fld>
            <a:endParaRPr lang="en-US" sz="1600" b="1">
              <a:solidFill>
                <a:srgbClr val="1B2A49"/>
              </a:solidFill>
            </a:endParaRPr>
          </a:p>
        </xdr:txBody>
      </xdr:sp>
    </xdr:grpSp>
    <xdr:clientData/>
  </xdr:twoCellAnchor>
  <xdr:twoCellAnchor>
    <xdr:from>
      <xdr:col>20</xdr:col>
      <xdr:colOff>271731</xdr:colOff>
      <xdr:row>3</xdr:row>
      <xdr:rowOff>175260</xdr:rowOff>
    </xdr:from>
    <xdr:to>
      <xdr:col>23</xdr:col>
      <xdr:colOff>35528</xdr:colOff>
      <xdr:row>7</xdr:row>
      <xdr:rowOff>165885</xdr:rowOff>
    </xdr:to>
    <xdr:grpSp>
      <xdr:nvGrpSpPr>
        <xdr:cNvPr id="32" name="Group 31">
          <a:extLst>
            <a:ext uri="{FF2B5EF4-FFF2-40B4-BE49-F238E27FC236}">
              <a16:creationId xmlns:a16="http://schemas.microsoft.com/office/drawing/2014/main" id="{31DB1B1D-9D90-478E-B3B7-C319993C8F1E}"/>
            </a:ext>
          </a:extLst>
        </xdr:cNvPr>
        <xdr:cNvGrpSpPr/>
      </xdr:nvGrpSpPr>
      <xdr:grpSpPr>
        <a:xfrm>
          <a:off x="12401527" y="735097"/>
          <a:ext cx="1583266" cy="737074"/>
          <a:chOff x="12463731" y="771474"/>
          <a:chExt cx="1592597" cy="722145"/>
        </a:xfrm>
        <a:solidFill>
          <a:srgbClr val="DBDBDB"/>
        </a:solidFill>
      </xdr:grpSpPr>
      <xdr:sp macro="" textlink="">
        <xdr:nvSpPr>
          <xdr:cNvPr id="33" name="Rectangle: Rounded Corners 32">
            <a:extLst>
              <a:ext uri="{FF2B5EF4-FFF2-40B4-BE49-F238E27FC236}">
                <a16:creationId xmlns:a16="http://schemas.microsoft.com/office/drawing/2014/main" id="{D1EFBEE2-B01C-95CB-085D-B0FB58F01DE9}"/>
              </a:ext>
            </a:extLst>
          </xdr:cNvPr>
          <xdr:cNvSpPr/>
        </xdr:nvSpPr>
        <xdr:spPr>
          <a:xfrm>
            <a:off x="12463731" y="771474"/>
            <a:ext cx="1592597"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1B2A49"/>
                </a:solidFill>
              </a:rPr>
              <a:t>Delivery Breakdown</a:t>
            </a:r>
          </a:p>
        </xdr:txBody>
      </xdr:sp>
      <xdr:sp macro="" textlink="Pivot_Tables!AL18">
        <xdr:nvSpPr>
          <xdr:cNvPr id="34" name="TextBox 33">
            <a:extLst>
              <a:ext uri="{FF2B5EF4-FFF2-40B4-BE49-F238E27FC236}">
                <a16:creationId xmlns:a16="http://schemas.microsoft.com/office/drawing/2014/main" id="{F5827738-0FC4-39C7-DC5B-BD3914B237E2}"/>
              </a:ext>
            </a:extLst>
          </xdr:cNvPr>
          <xdr:cNvSpPr txBox="1"/>
        </xdr:nvSpPr>
        <xdr:spPr>
          <a:xfrm>
            <a:off x="12733228" y="1147635"/>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383E8-8F67-4276-895B-A67E8393FAF2}" type="TxLink">
              <a:rPr lang="en-US" sz="1200" b="1" i="0" u="none" strike="noStrike">
                <a:solidFill>
                  <a:srgbClr val="000000"/>
                </a:solidFill>
                <a:latin typeface="Calibri"/>
                <a:ea typeface="Calibri"/>
                <a:cs typeface="Calibri"/>
              </a:rPr>
              <a:pPr algn="ctr"/>
              <a:t>16%</a:t>
            </a:fld>
            <a:endParaRPr lang="en-US" sz="1600" b="1">
              <a:solidFill>
                <a:srgbClr val="1B2A49"/>
              </a:solidFill>
            </a:endParaRPr>
          </a:p>
        </xdr:txBody>
      </xdr:sp>
    </xdr:grpSp>
    <xdr:clientData/>
  </xdr:twoCellAnchor>
  <xdr:twoCellAnchor>
    <xdr:from>
      <xdr:col>0</xdr:col>
      <xdr:colOff>30480</xdr:colOff>
      <xdr:row>8</xdr:row>
      <xdr:rowOff>67325</xdr:rowOff>
    </xdr:from>
    <xdr:to>
      <xdr:col>5</xdr:col>
      <xdr:colOff>358350</xdr:colOff>
      <xdr:row>30</xdr:row>
      <xdr:rowOff>1700</xdr:rowOff>
    </xdr:to>
    <xdr:sp macro="" textlink="">
      <xdr:nvSpPr>
        <xdr:cNvPr id="35" name="Rectangle: Rounded Corners 34">
          <a:extLst>
            <a:ext uri="{FF2B5EF4-FFF2-40B4-BE49-F238E27FC236}">
              <a16:creationId xmlns:a16="http://schemas.microsoft.com/office/drawing/2014/main" id="{2F62C947-7F55-4B0E-A771-AAB1EB128099}"/>
            </a:ext>
          </a:extLst>
        </xdr:cNvPr>
        <xdr:cNvSpPr/>
      </xdr:nvSpPr>
      <xdr:spPr>
        <a:xfrm>
          <a:off x="30480" y="1548596"/>
          <a:ext cx="3390113" cy="4007870"/>
        </a:xfrm>
        <a:prstGeom prst="roundRect">
          <a:avLst>
            <a:gd name="adj" fmla="val 8136"/>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5</xdr:col>
      <xdr:colOff>473701</xdr:colOff>
      <xdr:row>18</xdr:row>
      <xdr:rowOff>103910</xdr:rowOff>
    </xdr:from>
    <xdr:to>
      <xdr:col>14</xdr:col>
      <xdr:colOff>214792</xdr:colOff>
      <xdr:row>30</xdr:row>
      <xdr:rowOff>8304</xdr:rowOff>
    </xdr:to>
    <xdr:sp macro="" textlink="">
      <xdr:nvSpPr>
        <xdr:cNvPr id="37" name="Rectangle: Rounded Corners 36">
          <a:extLst>
            <a:ext uri="{FF2B5EF4-FFF2-40B4-BE49-F238E27FC236}">
              <a16:creationId xmlns:a16="http://schemas.microsoft.com/office/drawing/2014/main" id="{3EFA2C5A-77AD-41E8-8F9F-B18BC21840FF}"/>
            </a:ext>
          </a:extLst>
        </xdr:cNvPr>
        <xdr:cNvSpPr/>
      </xdr:nvSpPr>
      <xdr:spPr>
        <a:xfrm>
          <a:off x="3504383" y="3377046"/>
          <a:ext cx="5196318" cy="2086485"/>
        </a:xfrm>
        <a:prstGeom prst="roundRect">
          <a:avLst>
            <a:gd name="adj" fmla="val 11638"/>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17</xdr:col>
      <xdr:colOff>326320</xdr:colOff>
      <xdr:row>8</xdr:row>
      <xdr:rowOff>67325</xdr:rowOff>
    </xdr:from>
    <xdr:to>
      <xdr:col>23</xdr:col>
      <xdr:colOff>69308</xdr:colOff>
      <xdr:row>18</xdr:row>
      <xdr:rowOff>8659</xdr:rowOff>
    </xdr:to>
    <xdr:sp macro="" textlink="">
      <xdr:nvSpPr>
        <xdr:cNvPr id="38" name="Rectangle: Rounded Corners 37">
          <a:extLst>
            <a:ext uri="{FF2B5EF4-FFF2-40B4-BE49-F238E27FC236}">
              <a16:creationId xmlns:a16="http://schemas.microsoft.com/office/drawing/2014/main" id="{AFD2F89C-4EDB-4392-98A0-B8C126577ACB}"/>
            </a:ext>
          </a:extLst>
        </xdr:cNvPr>
        <xdr:cNvSpPr/>
      </xdr:nvSpPr>
      <xdr:spPr>
        <a:xfrm>
          <a:off x="10630638" y="1522052"/>
          <a:ext cx="3379806" cy="1759743"/>
        </a:xfrm>
        <a:prstGeom prst="roundRect">
          <a:avLst>
            <a:gd name="adj" fmla="val 12895"/>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xdr:from>
      <xdr:col>14</xdr:col>
      <xdr:colOff>325100</xdr:colOff>
      <xdr:row>18</xdr:row>
      <xdr:rowOff>103910</xdr:rowOff>
    </xdr:from>
    <xdr:to>
      <xdr:col>23</xdr:col>
      <xdr:colOff>66191</xdr:colOff>
      <xdr:row>30</xdr:row>
      <xdr:rowOff>3079</xdr:rowOff>
    </xdr:to>
    <xdr:sp macro="" textlink="">
      <xdr:nvSpPr>
        <xdr:cNvPr id="39" name="Rectangle: Rounded Corners 38">
          <a:extLst>
            <a:ext uri="{FF2B5EF4-FFF2-40B4-BE49-F238E27FC236}">
              <a16:creationId xmlns:a16="http://schemas.microsoft.com/office/drawing/2014/main" id="{8963289C-C2EB-41CF-9777-E873EF8D30DA}"/>
            </a:ext>
          </a:extLst>
        </xdr:cNvPr>
        <xdr:cNvSpPr/>
      </xdr:nvSpPr>
      <xdr:spPr>
        <a:xfrm>
          <a:off x="8811009" y="3377046"/>
          <a:ext cx="5196318" cy="2081260"/>
        </a:xfrm>
        <a:prstGeom prst="roundRect">
          <a:avLst>
            <a:gd name="adj" fmla="val 14572"/>
          </a:avLst>
        </a:prstGeom>
        <a:solidFill>
          <a:srgbClr val="1B2A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lt1"/>
            </a:solidFill>
            <a:latin typeface="+mn-lt"/>
            <a:ea typeface="+mn-ea"/>
            <a:cs typeface="+mn-cs"/>
          </a:endParaRPr>
        </a:p>
      </xdr:txBody>
    </xdr:sp>
    <xdr:clientData/>
  </xdr:twoCellAnchor>
  <xdr:twoCellAnchor editAs="oneCell">
    <xdr:from>
      <xdr:col>0</xdr:col>
      <xdr:colOff>158103</xdr:colOff>
      <xdr:row>8</xdr:row>
      <xdr:rowOff>136552</xdr:rowOff>
    </xdr:from>
    <xdr:to>
      <xdr:col>5</xdr:col>
      <xdr:colOff>248008</xdr:colOff>
      <xdr:row>14</xdr:row>
      <xdr:rowOff>56994</xdr:rowOff>
    </xdr:to>
    <mc:AlternateContent xmlns:mc="http://schemas.openxmlformats.org/markup-compatibility/2006">
      <mc:Choice xmlns:a14="http://schemas.microsoft.com/office/drawing/2010/main" Requires="a14">
        <xdr:graphicFrame macro="">
          <xdr:nvGraphicFramePr>
            <xdr:cNvPr id="40" name="المحافظة 2">
              <a:extLst>
                <a:ext uri="{FF2B5EF4-FFF2-40B4-BE49-F238E27FC236}">
                  <a16:creationId xmlns:a16="http://schemas.microsoft.com/office/drawing/2014/main" id="{AF911360-1D88-4124-8F87-5E739984FF40}"/>
                </a:ext>
              </a:extLst>
            </xdr:cNvPr>
            <xdr:cNvGraphicFramePr/>
          </xdr:nvGraphicFramePr>
          <xdr:xfrm>
            <a:off x="0" y="0"/>
            <a:ext cx="0" cy="0"/>
          </xdr:xfrm>
          <a:graphic>
            <a:graphicData uri="http://schemas.microsoft.com/office/drawing/2010/slicer">
              <sle:slicer xmlns:sle="http://schemas.microsoft.com/office/drawing/2010/slicer" name="المحافظة 2"/>
            </a:graphicData>
          </a:graphic>
        </xdr:graphicFrame>
      </mc:Choice>
      <mc:Fallback>
        <xdr:sp macro="" textlink="">
          <xdr:nvSpPr>
            <xdr:cNvPr id="0" name=""/>
            <xdr:cNvSpPr>
              <a:spLocks noTextEdit="1"/>
            </xdr:cNvSpPr>
          </xdr:nvSpPr>
          <xdr:spPr>
            <a:xfrm>
              <a:off x="158103" y="1629450"/>
              <a:ext cx="3122354" cy="1040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158104</xdr:colOff>
      <xdr:row>14</xdr:row>
      <xdr:rowOff>58939</xdr:rowOff>
    </xdr:from>
    <xdr:to>
      <xdr:col>5</xdr:col>
      <xdr:colOff>246496</xdr:colOff>
      <xdr:row>18</xdr:row>
      <xdr:rowOff>128920</xdr:rowOff>
    </xdr:to>
    <mc:AlternateContent xmlns:mc="http://schemas.openxmlformats.org/markup-compatibility/2006">
      <mc:Choice xmlns:a14="http://schemas.microsoft.com/office/drawing/2010/main" Requires="a14">
        <xdr:graphicFrame macro="">
          <xdr:nvGraphicFramePr>
            <xdr:cNvPr id="41" name="منصة البيع  2">
              <a:extLst>
                <a:ext uri="{FF2B5EF4-FFF2-40B4-BE49-F238E27FC236}">
                  <a16:creationId xmlns:a16="http://schemas.microsoft.com/office/drawing/2014/main" id="{CD4146D6-F3D4-40D4-ABE6-A277ECE3CBFA}"/>
                </a:ext>
              </a:extLst>
            </xdr:cNvPr>
            <xdr:cNvGraphicFramePr/>
          </xdr:nvGraphicFramePr>
          <xdr:xfrm>
            <a:off x="0" y="0"/>
            <a:ext cx="0" cy="0"/>
          </xdr:xfrm>
          <a:graphic>
            <a:graphicData uri="http://schemas.microsoft.com/office/drawing/2010/slicer">
              <sle:slicer xmlns:sle="http://schemas.microsoft.com/office/drawing/2010/slicer" name="منصة البيع  2"/>
            </a:graphicData>
          </a:graphic>
        </xdr:graphicFrame>
      </mc:Choice>
      <mc:Fallback>
        <xdr:sp macro="" textlink="">
          <xdr:nvSpPr>
            <xdr:cNvPr id="0" name=""/>
            <xdr:cNvSpPr>
              <a:spLocks noTextEdit="1"/>
            </xdr:cNvSpPr>
          </xdr:nvSpPr>
          <xdr:spPr>
            <a:xfrm>
              <a:off x="158104" y="2671510"/>
              <a:ext cx="3120841" cy="816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158103</xdr:colOff>
      <xdr:row>18</xdr:row>
      <xdr:rowOff>125975</xdr:rowOff>
    </xdr:from>
    <xdr:to>
      <xdr:col>5</xdr:col>
      <xdr:colOff>248008</xdr:colOff>
      <xdr:row>23</xdr:row>
      <xdr:rowOff>12485</xdr:rowOff>
    </xdr:to>
    <mc:AlternateContent xmlns:mc="http://schemas.openxmlformats.org/markup-compatibility/2006">
      <mc:Choice xmlns:a14="http://schemas.microsoft.com/office/drawing/2010/main" Requires="a14">
        <xdr:graphicFrame macro="">
          <xdr:nvGraphicFramePr>
            <xdr:cNvPr id="42" name="الصنف 2">
              <a:extLst>
                <a:ext uri="{FF2B5EF4-FFF2-40B4-BE49-F238E27FC236}">
                  <a16:creationId xmlns:a16="http://schemas.microsoft.com/office/drawing/2014/main" id="{16D8514A-FB1A-4225-957E-B2945647043F}"/>
                </a:ext>
              </a:extLst>
            </xdr:cNvPr>
            <xdr:cNvGraphicFramePr/>
          </xdr:nvGraphicFramePr>
          <xdr:xfrm>
            <a:off x="0" y="0"/>
            <a:ext cx="0" cy="0"/>
          </xdr:xfrm>
          <a:graphic>
            <a:graphicData uri="http://schemas.microsoft.com/office/drawing/2010/slicer">
              <sle:slicer xmlns:sle="http://schemas.microsoft.com/office/drawing/2010/slicer" name="الصنف 2"/>
            </a:graphicData>
          </a:graphic>
        </xdr:graphicFrame>
      </mc:Choice>
      <mc:Fallback>
        <xdr:sp macro="" textlink="">
          <xdr:nvSpPr>
            <xdr:cNvPr id="0" name=""/>
            <xdr:cNvSpPr>
              <a:spLocks noTextEdit="1"/>
            </xdr:cNvSpPr>
          </xdr:nvSpPr>
          <xdr:spPr>
            <a:xfrm>
              <a:off x="158103" y="3484995"/>
              <a:ext cx="3122354" cy="819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158103</xdr:colOff>
      <xdr:row>23</xdr:row>
      <xdr:rowOff>7356</xdr:rowOff>
    </xdr:from>
    <xdr:to>
      <xdr:col>5</xdr:col>
      <xdr:colOff>248008</xdr:colOff>
      <xdr:row>26</xdr:row>
      <xdr:rowOff>26788</xdr:rowOff>
    </xdr:to>
    <mc:AlternateContent xmlns:mc="http://schemas.openxmlformats.org/markup-compatibility/2006">
      <mc:Choice xmlns:a14="http://schemas.microsoft.com/office/drawing/2010/main" Requires="a14">
        <xdr:graphicFrame macro="">
          <xdr:nvGraphicFramePr>
            <xdr:cNvPr id="43" name="تجربة العميل 2">
              <a:extLst>
                <a:ext uri="{FF2B5EF4-FFF2-40B4-BE49-F238E27FC236}">
                  <a16:creationId xmlns:a16="http://schemas.microsoft.com/office/drawing/2014/main" id="{41F4D84F-DEC2-4503-8B54-3B5AD390D2AB}"/>
                </a:ext>
              </a:extLst>
            </xdr:cNvPr>
            <xdr:cNvGraphicFramePr/>
          </xdr:nvGraphicFramePr>
          <xdr:xfrm>
            <a:off x="0" y="0"/>
            <a:ext cx="0" cy="0"/>
          </xdr:xfrm>
          <a:graphic>
            <a:graphicData uri="http://schemas.microsoft.com/office/drawing/2010/slicer">
              <sle:slicer xmlns:sle="http://schemas.microsoft.com/office/drawing/2010/slicer" name="تجربة العميل 2"/>
            </a:graphicData>
          </a:graphic>
        </xdr:graphicFrame>
      </mc:Choice>
      <mc:Fallback>
        <xdr:sp macro="" textlink="">
          <xdr:nvSpPr>
            <xdr:cNvPr id="0" name=""/>
            <xdr:cNvSpPr>
              <a:spLocks noTextEdit="1"/>
            </xdr:cNvSpPr>
          </xdr:nvSpPr>
          <xdr:spPr>
            <a:xfrm>
              <a:off x="158103" y="4299438"/>
              <a:ext cx="3122354" cy="579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158103</xdr:colOff>
      <xdr:row>26</xdr:row>
      <xdr:rowOff>28684</xdr:rowOff>
    </xdr:from>
    <xdr:to>
      <xdr:col>5</xdr:col>
      <xdr:colOff>248008</xdr:colOff>
      <xdr:row>29</xdr:row>
      <xdr:rowOff>92177</xdr:rowOff>
    </xdr:to>
    <mc:AlternateContent xmlns:mc="http://schemas.openxmlformats.org/markup-compatibility/2006">
      <mc:Choice xmlns:a14="http://schemas.microsoft.com/office/drawing/2010/main" Requires="a14">
        <xdr:graphicFrame macro="">
          <xdr:nvGraphicFramePr>
            <xdr:cNvPr id="44" name="الحالة 2">
              <a:extLst>
                <a:ext uri="{FF2B5EF4-FFF2-40B4-BE49-F238E27FC236}">
                  <a16:creationId xmlns:a16="http://schemas.microsoft.com/office/drawing/2014/main" id="{563D3A45-159E-41E6-A315-FC8FB8A3BDAD}"/>
                </a:ext>
              </a:extLst>
            </xdr:cNvPr>
            <xdr:cNvGraphicFramePr/>
          </xdr:nvGraphicFramePr>
          <xdr:xfrm>
            <a:off x="0" y="0"/>
            <a:ext cx="0" cy="0"/>
          </xdr:xfrm>
          <a:graphic>
            <a:graphicData uri="http://schemas.microsoft.com/office/drawing/2010/slicer">
              <sle:slicer xmlns:sle="http://schemas.microsoft.com/office/drawing/2010/slicer" name="الحالة 2"/>
            </a:graphicData>
          </a:graphic>
        </xdr:graphicFrame>
      </mc:Choice>
      <mc:Fallback>
        <xdr:sp macro="" textlink="">
          <xdr:nvSpPr>
            <xdr:cNvPr id="0" name=""/>
            <xdr:cNvSpPr>
              <a:spLocks noTextEdit="1"/>
            </xdr:cNvSpPr>
          </xdr:nvSpPr>
          <xdr:spPr>
            <a:xfrm>
              <a:off x="158103" y="4880602"/>
              <a:ext cx="3122354" cy="623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458932</xdr:colOff>
      <xdr:row>18</xdr:row>
      <xdr:rowOff>175817</xdr:rowOff>
    </xdr:from>
    <xdr:to>
      <xdr:col>22</xdr:col>
      <xdr:colOff>555008</xdr:colOff>
      <xdr:row>29</xdr:row>
      <xdr:rowOff>114095</xdr:rowOff>
    </xdr:to>
    <xdr:graphicFrame macro="">
      <xdr:nvGraphicFramePr>
        <xdr:cNvPr id="45" name="Chart 44">
          <a:extLst>
            <a:ext uri="{FF2B5EF4-FFF2-40B4-BE49-F238E27FC236}">
              <a16:creationId xmlns:a16="http://schemas.microsoft.com/office/drawing/2014/main" id="{0AA40273-9FE3-4E21-AC28-A25852E06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562128</xdr:colOff>
      <xdr:row>18</xdr:row>
      <xdr:rowOff>167158</xdr:rowOff>
    </xdr:from>
    <xdr:to>
      <xdr:col>14</xdr:col>
      <xdr:colOff>119924</xdr:colOff>
      <xdr:row>29</xdr:row>
      <xdr:rowOff>103909</xdr:rowOff>
    </xdr:to>
    <xdr:graphicFrame macro="">
      <xdr:nvGraphicFramePr>
        <xdr:cNvPr id="46" name="Chart 45">
          <a:extLst>
            <a:ext uri="{FF2B5EF4-FFF2-40B4-BE49-F238E27FC236}">
              <a16:creationId xmlns:a16="http://schemas.microsoft.com/office/drawing/2014/main" id="{DD822A06-AF15-49B7-89A8-4D462AEEC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469732</xdr:colOff>
      <xdr:row>8</xdr:row>
      <xdr:rowOff>153826</xdr:rowOff>
    </xdr:from>
    <xdr:to>
      <xdr:col>17</xdr:col>
      <xdr:colOff>69637</xdr:colOff>
      <xdr:row>17</xdr:row>
      <xdr:rowOff>107030</xdr:rowOff>
    </xdr:to>
    <xdr:graphicFrame macro="">
      <xdr:nvGraphicFramePr>
        <xdr:cNvPr id="47" name="Chart 46">
          <a:extLst>
            <a:ext uri="{FF2B5EF4-FFF2-40B4-BE49-F238E27FC236}">
              <a16:creationId xmlns:a16="http://schemas.microsoft.com/office/drawing/2014/main" id="{3D4ED98F-EBA2-4802-A7BB-464ACF83D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547878</xdr:colOff>
      <xdr:row>8</xdr:row>
      <xdr:rowOff>153826</xdr:rowOff>
    </xdr:from>
    <xdr:to>
      <xdr:col>11</xdr:col>
      <xdr:colOff>147962</xdr:colOff>
      <xdr:row>17</xdr:row>
      <xdr:rowOff>107349</xdr:rowOff>
    </xdr:to>
    <xdr:graphicFrame macro="">
      <xdr:nvGraphicFramePr>
        <xdr:cNvPr id="48" name="Chart 47">
          <a:extLst>
            <a:ext uri="{FF2B5EF4-FFF2-40B4-BE49-F238E27FC236}">
              <a16:creationId xmlns:a16="http://schemas.microsoft.com/office/drawing/2014/main" id="{6B02CBF7-8B21-496F-9BE0-3301F43C1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396464</xdr:colOff>
      <xdr:row>8</xdr:row>
      <xdr:rowOff>153826</xdr:rowOff>
    </xdr:from>
    <xdr:to>
      <xdr:col>23</xdr:col>
      <xdr:colOff>1133</xdr:colOff>
      <xdr:row>17</xdr:row>
      <xdr:rowOff>107349</xdr:rowOff>
    </xdr:to>
    <xdr:graphicFrame macro="">
      <xdr:nvGraphicFramePr>
        <xdr:cNvPr id="49" name="Chart 48">
          <a:extLst>
            <a:ext uri="{FF2B5EF4-FFF2-40B4-BE49-F238E27FC236}">
              <a16:creationId xmlns:a16="http://schemas.microsoft.com/office/drawing/2014/main" id="{DB961685-3E2B-43BD-B155-948F5966A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214761</xdr:colOff>
      <xdr:row>3</xdr:row>
      <xdr:rowOff>175260</xdr:rowOff>
    </xdr:from>
    <xdr:to>
      <xdr:col>23</xdr:col>
      <xdr:colOff>89128</xdr:colOff>
      <xdr:row>7</xdr:row>
      <xdr:rowOff>163397</xdr:rowOff>
    </xdr:to>
    <xdr:grpSp>
      <xdr:nvGrpSpPr>
        <xdr:cNvPr id="50" name="Group 49">
          <a:extLst>
            <a:ext uri="{FF2B5EF4-FFF2-40B4-BE49-F238E27FC236}">
              <a16:creationId xmlns:a16="http://schemas.microsoft.com/office/drawing/2014/main" id="{050BB9DD-CF01-4CF2-822C-8E1CDBC25195}"/>
            </a:ext>
          </a:extLst>
        </xdr:cNvPr>
        <xdr:cNvGrpSpPr/>
      </xdr:nvGrpSpPr>
      <xdr:grpSpPr>
        <a:xfrm>
          <a:off x="12344557" y="735097"/>
          <a:ext cx="1693836" cy="734586"/>
          <a:chOff x="12463731" y="771474"/>
          <a:chExt cx="1592597" cy="722145"/>
        </a:xfrm>
        <a:solidFill>
          <a:srgbClr val="DBDBDB"/>
        </a:solidFill>
      </xdr:grpSpPr>
      <xdr:sp macro="" textlink="">
        <xdr:nvSpPr>
          <xdr:cNvPr id="51" name="Rectangle: Rounded Corners 50">
            <a:extLst>
              <a:ext uri="{FF2B5EF4-FFF2-40B4-BE49-F238E27FC236}">
                <a16:creationId xmlns:a16="http://schemas.microsoft.com/office/drawing/2014/main" id="{F5CC38AF-92FE-9E1D-7790-B040CD2F246B}"/>
              </a:ext>
            </a:extLst>
          </xdr:cNvPr>
          <xdr:cNvSpPr/>
        </xdr:nvSpPr>
        <xdr:spPr>
          <a:xfrm>
            <a:off x="12463731" y="771474"/>
            <a:ext cx="1592597" cy="722145"/>
          </a:xfrm>
          <a:prstGeom prst="roundRect">
            <a:avLst>
              <a:gd name="adj" fmla="val 302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rgbClr val="1B2A49"/>
                </a:solidFill>
              </a:rPr>
              <a:t>Delivery Breakdown</a:t>
            </a:r>
          </a:p>
        </xdr:txBody>
      </xdr:sp>
      <xdr:sp macro="" textlink="Pivot_Tables!AL18">
        <xdr:nvSpPr>
          <xdr:cNvPr id="52" name="TextBox 51">
            <a:extLst>
              <a:ext uri="{FF2B5EF4-FFF2-40B4-BE49-F238E27FC236}">
                <a16:creationId xmlns:a16="http://schemas.microsoft.com/office/drawing/2014/main" id="{FFFE0E53-82BC-DE68-C87A-076DFC19FB26}"/>
              </a:ext>
            </a:extLst>
          </xdr:cNvPr>
          <xdr:cNvSpPr txBox="1"/>
        </xdr:nvSpPr>
        <xdr:spPr>
          <a:xfrm>
            <a:off x="12733228" y="1147635"/>
            <a:ext cx="1065245" cy="27991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194ED8-A901-4EB4-8060-A1D3D58BE808}" type="TxLink">
              <a:rPr lang="en-US" sz="1200" b="1" i="0" u="none" strike="noStrike">
                <a:solidFill>
                  <a:srgbClr val="000000"/>
                </a:solidFill>
                <a:latin typeface="Calibri"/>
                <a:ea typeface="Calibri"/>
                <a:cs typeface="Calibri"/>
              </a:rPr>
              <a:pPr algn="ctr"/>
              <a:t>16%</a:t>
            </a:fld>
            <a:endParaRPr lang="en-US" sz="1800" b="1">
              <a:solidFill>
                <a:srgbClr val="1B2A49"/>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obhy" refreshedDate="46060.453720949074" createdVersion="8" refreshedVersion="8" minRefreshableVersion="3" recordCount="120" xr:uid="{D13B3072-4C9B-46DA-A291-ECD382F402AA}">
  <cacheSource type="worksheet">
    <worksheetSource name="MISUO"/>
  </cacheSource>
  <cacheFields count="26">
    <cacheField name="أسم العميل" numFmtId="0">
      <sharedItems/>
    </cacheField>
    <cacheField name="نوع العميل" numFmtId="0">
      <sharedItems count="2">
        <s v="أفراد"/>
        <s v="شركات"/>
      </sharedItems>
    </cacheField>
    <cacheField name="المدينة" numFmtId="0">
      <sharedItems/>
    </cacheField>
    <cacheField name="المحافظة" numFmtId="0">
      <sharedItems count="9">
        <s v="القاهرة"/>
        <s v="الجيزة"/>
        <s v="الغردقة"/>
        <s v="غير محدد"/>
        <s v="السويس"/>
        <s v="الساحل الشمالى"/>
        <s v="القليوبية"/>
        <s v="الإسكندرية"/>
        <s v="اسيوط "/>
      </sharedItems>
    </cacheField>
    <cacheField name="منصة البيع " numFmtId="0">
      <sharedItems count="8">
        <s v="هومزمارت"/>
        <s v="شيك هومز "/>
        <s v="فيسبوك"/>
        <s v="تاكى"/>
        <s v="اوسكار راتن "/>
        <s v="السويس"/>
        <s v="منزلى "/>
        <s v="كيمت "/>
      </sharedItems>
    </cacheField>
    <cacheField name="الكمية" numFmtId="0">
      <sharedItems containsSemiMixedTypes="0" containsString="0" containsNumber="1" containsInteger="1" minValue="1" maxValue="4"/>
    </cacheField>
    <cacheField name="الصنف" numFmtId="0">
      <sharedItems count="6">
        <s v="سرير"/>
        <s v="ترابيزة"/>
        <s v="كنبة"/>
        <s v="ركنة"/>
        <s v="فوتية"/>
        <s v="شيزلونج"/>
      </sharedItems>
    </cacheField>
    <cacheField name="نوع الصنف"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numFmtId="0">
      <sharedItems containsBlank="1" count="10">
        <s v="ابيض"/>
        <s v="اسود"/>
        <m/>
        <s v="رمادي"/>
        <s v="ازرق"/>
        <s v="دهبي"/>
        <s v="بنفسجى"/>
        <s v="اسود وبنى"/>
        <s v="نبيتى "/>
        <s v="وردي"/>
      </sharedItems>
    </cacheField>
    <cacheField name="سعر البيع " numFmtId="0">
      <sharedItems containsSemiMixedTypes="0" containsString="0" containsNumber="1" minValue="4020" maxValue="22000" count="84">
        <n v="16599"/>
        <n v="17249"/>
        <n v="11817"/>
        <n v="8642"/>
        <n v="7460"/>
        <n v="14550"/>
        <n v="12000"/>
        <n v="13099"/>
        <n v="22000"/>
        <n v="16000"/>
        <n v="6000"/>
        <n v="9450"/>
        <n v="11455"/>
        <n v="7849"/>
        <n v="9700"/>
        <n v="9208"/>
        <n v="7987"/>
        <n v="9300"/>
        <n v="8849"/>
        <n v="11199"/>
        <n v="12833"/>
        <n v="4020"/>
        <n v="10499"/>
        <n v="8349"/>
        <n v="7228"/>
        <n v="7928"/>
        <n v="10987"/>
        <n v="7295"/>
        <n v="9528"/>
        <n v="12999"/>
        <n v="11949"/>
        <n v="10999"/>
        <n v="13849"/>
        <n v="9399"/>
        <n v="21999"/>
        <n v="10160"/>
        <n v="17886"/>
        <n v="10319"/>
        <n v="5999"/>
        <n v="12399"/>
        <n v="5074"/>
        <n v="6250"/>
        <n v="8943"/>
        <n v="8433"/>
        <n v="14950"/>
        <n v="9608"/>
        <n v="7433"/>
        <n v="4600"/>
        <n v="10000"/>
        <n v="5500"/>
        <n v="8988"/>
        <n v="13028"/>
        <n v="12899"/>
        <n v="5135"/>
        <n v="12777.5"/>
        <n v="8544.91"/>
        <n v="9007"/>
        <n v="15516"/>
        <n v="10045"/>
        <n v="11749"/>
        <n v="4800"/>
        <n v="5000"/>
        <n v="12099"/>
        <n v="15872"/>
        <n v="4520"/>
        <n v="5766"/>
        <n v="11395"/>
        <n v="12919"/>
        <n v="6376"/>
        <n v="5294"/>
        <n v="7396"/>
        <n v="13575"/>
        <n v="5100"/>
        <n v="5800"/>
        <n v="10885"/>
        <n v="8449"/>
        <n v="10249"/>
        <n v="14905"/>
        <n v="9029"/>
        <n v="5217"/>
        <n v="10445"/>
        <n v="11257"/>
        <n v="13231"/>
        <n v="8700"/>
      </sharedItems>
    </cacheField>
    <cacheField name="طريقة الدفع" numFmtId="0">
      <sharedItems containsBlank="1"/>
    </cacheField>
    <cacheField name="تاريخ الطلب" numFmtId="14">
      <sharedItems containsNonDate="0" containsDate="1" containsString="0" containsBlank="1" minDate="2024-07-27T00:00:00" maxDate="2024-12-15T00:00:00" count="56">
        <d v="2024-09-13T00:00:00"/>
        <d v="2024-09-14T00:00:00"/>
        <d v="2024-08-25T00:00:00"/>
        <d v="2024-08-14T00:00:00"/>
        <d v="2024-08-17T00:00:00"/>
        <d v="2024-08-19T00:00:00"/>
        <m/>
        <d v="2024-09-12T00:00:00"/>
        <d v="2024-07-27T00:00:00"/>
        <d v="2024-09-04T00:00:00"/>
        <d v="2024-09-03T00:00:00"/>
        <d v="2024-09-01T00:00:00"/>
        <d v="2024-09-06T00:00:00"/>
        <d v="2024-08-16T00:00:00"/>
        <d v="2024-09-09T00:00:00"/>
        <d v="2024-09-05T00:00:00"/>
        <d v="2024-07-28T00:00:00"/>
        <d v="2024-09-15T00:00:00"/>
        <d v="2024-09-16T00:00:00"/>
        <d v="2024-09-21T00:00:00"/>
        <d v="2024-09-23T00:00:00"/>
        <d v="2024-09-26T00:00:00"/>
        <d v="2024-09-29T00:00:00"/>
        <d v="2024-10-01T00:00:00"/>
        <d v="2024-10-03T00:00:00"/>
        <d v="2024-10-08T00:00:00"/>
        <d v="2024-10-07T00:00:00"/>
        <d v="2024-10-10T00:00:00"/>
        <d v="2024-10-13T00:00:00"/>
        <d v="2024-10-16T00:00:00"/>
        <d v="2024-10-17T00:00:00"/>
        <d v="2024-10-20T00:00:00"/>
        <d v="2024-10-22T00:00:00"/>
        <d v="2024-10-21T00:00:00"/>
        <d v="2024-10-24T00:00:00"/>
        <d v="2024-10-26T00:00:00"/>
        <d v="2024-10-28T00:00:00"/>
        <d v="2024-11-11T00:00:00"/>
        <d v="2024-11-08T00:00:00"/>
        <d v="2024-11-10T00:00:00"/>
        <d v="2024-11-12T00:00:00"/>
        <d v="2024-11-14T00:00:00"/>
        <d v="2024-11-17T00:00:00"/>
        <d v="2024-11-20T00:00:00"/>
        <d v="2024-11-22T00:00:00"/>
        <d v="2024-11-24T00:00:00"/>
        <d v="2024-11-19T00:00:00"/>
        <d v="2024-11-27T00:00:00"/>
        <d v="2024-11-29T00:00:00"/>
        <d v="2024-11-30T00:00:00"/>
        <d v="2024-12-02T00:00:00"/>
        <d v="2024-12-01T00:00:00"/>
        <d v="2024-12-04T00:00:00"/>
        <d v="2024-12-09T00:00:00"/>
        <d v="2024-12-12T00:00:00"/>
        <d v="2024-12-14T00:00:00"/>
      </sharedItems>
      <fieldGroup par="25"/>
    </cacheField>
    <cacheField name="ميعاد التسليم المتوقع " numFmtId="14">
      <sharedItems containsNonDate="0" containsDate="1" containsString="0" containsBlank="1" minDate="2024-08-20T00:00:00" maxDate="2025-01-06T00:00:00"/>
    </cacheField>
    <cacheField name="تاريخ التسليم الفعلي" numFmtId="14">
      <sharedItems containsNonDate="0" containsDate="1" containsString="0" containsBlank="1" minDate="2024-08-10T00:00:00" maxDate="2024-12-30T00:00:00"/>
    </cacheField>
    <cacheField name="المدة المتوقعة" numFmtId="0">
      <sharedItems containsString="0" containsBlank="1" containsNumber="1" containsInteger="1" minValue="3" maxValue="67"/>
    </cacheField>
    <cacheField name="المدة الفعلية" numFmtId="0">
      <sharedItems containsString="0" containsBlank="1" containsNumber="1" containsInteger="1" minValue="1" maxValue="59"/>
    </cacheField>
    <cacheField name="الفرق بين الفعلي والمتوقع" numFmtId="0">
      <sharedItems containsString="0" containsBlank="1" containsNumber="1" containsInteger="1" minValue="-59" maxValue="20"/>
    </cacheField>
    <cacheField name="تجربة العميل" numFmtId="0">
      <sharedItems count="3">
        <s v="مقبولة"/>
        <s v="سيئة"/>
        <s v="ممتازة"/>
      </sharedItems>
    </cacheField>
    <cacheField name="حالة الالتزام" numFmtId="0">
      <sharedItems count="3">
        <s v="متأخر"/>
        <s v="مبكر"/>
        <s v="في الموعد"/>
      </sharedItems>
    </cacheField>
    <cacheField name="المسئول عن التسليم" numFmtId="0">
      <sharedItems/>
    </cacheField>
    <cacheField name="نوع جهة التسليم" numFmtId="0">
      <sharedItems/>
    </cacheField>
    <cacheField name="الحالة" numFmtId="0">
      <sharedItems count="3">
        <s v="تم التسليم"/>
        <s v="فشل التسليم"/>
        <s v="مرتجع"/>
      </sharedItems>
    </cacheField>
    <cacheField name="Days (تاريخ الطلب)" numFmtId="0" databaseField="0">
      <fieldGroup base="13">
        <rangePr groupBy="days" startDate="2024-07-27T00:00:00" endDate="2024-12-15T00:00:00"/>
        <groupItems count="368">
          <s v="&lt;7/27/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5/2024"/>
        </groupItems>
      </fieldGroup>
    </cacheField>
    <cacheField name="Months (تاريخ الطلب)" numFmtId="0" databaseField="0">
      <fieldGroup base="13">
        <rangePr groupBy="months" startDate="2024-07-27T00:00:00" endDate="2024-12-15T00:00:00"/>
        <groupItems count="14">
          <s v="&lt;7/27/2024"/>
          <s v="Jan"/>
          <s v="Feb"/>
          <s v="Mar"/>
          <s v="Apr"/>
          <s v="May"/>
          <s v="Jun"/>
          <s v="Jul"/>
          <s v="Aug"/>
          <s v="Sep"/>
          <s v="Oct"/>
          <s v="Nov"/>
          <s v="Dec"/>
          <s v="&gt;12/15/2024"/>
        </groupItems>
      </fieldGroup>
    </cacheField>
  </cacheFields>
  <extLst>
    <ext xmlns:x14="http://schemas.microsoft.com/office/spreadsheetml/2009/9/main" uri="{725AE2AE-9491-48be-B2B4-4EB974FC3084}">
      <x14:pivotCacheDefinition pivotCacheId="1445913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احمد "/>
    <x v="0"/>
    <s v="الشروق"/>
    <x v="0"/>
    <x v="0"/>
    <n v="1"/>
    <x v="0"/>
    <s v="ثلاثة أدوار"/>
    <s v="كيفنج"/>
    <n v="80"/>
    <x v="0"/>
    <x v="0"/>
    <s v="مسبق الدفع"/>
    <x v="0"/>
    <d v="2024-09-30T00:00:00"/>
    <d v="2024-10-03T00:00:00"/>
    <n v="17"/>
    <n v="20"/>
    <n v="3"/>
    <x v="0"/>
    <x v="0"/>
    <s v="محمود على "/>
    <s v="داخلي"/>
    <x v="0"/>
  </r>
  <r>
    <s v="طارق كمال "/>
    <x v="0"/>
    <s v="المعادى"/>
    <x v="0"/>
    <x v="0"/>
    <n v="1"/>
    <x v="0"/>
    <s v="ثلاثة أدوار"/>
    <s v="كيفنج"/>
    <n v="90"/>
    <x v="1"/>
    <x v="1"/>
    <s v="مسبق الدفع"/>
    <x v="0"/>
    <d v="2024-09-30T00:00:00"/>
    <d v="2024-10-04T00:00:00"/>
    <n v="17"/>
    <n v="21"/>
    <n v="4"/>
    <x v="1"/>
    <x v="0"/>
    <s v="محمود على "/>
    <s v="داخلي"/>
    <x v="0"/>
  </r>
  <r>
    <s v="عبد الله سيد "/>
    <x v="0"/>
    <s v="الشيخ زايد"/>
    <x v="1"/>
    <x v="0"/>
    <n v="1"/>
    <x v="0"/>
    <s v="فردي"/>
    <s v="اسباني"/>
    <n v="140"/>
    <x v="1"/>
    <x v="2"/>
    <s v="مسبق الدفع"/>
    <x v="1"/>
    <d v="2024-10-29T00:00:00"/>
    <d v="2024-10-15T00:00:00"/>
    <n v="45"/>
    <n v="31"/>
    <n v="-14"/>
    <x v="2"/>
    <x v="1"/>
    <s v="محمود على "/>
    <s v="داخلي"/>
    <x v="0"/>
  </r>
  <r>
    <s v="ساندرا"/>
    <x v="0"/>
    <s v="غير محدد"/>
    <x v="2"/>
    <x v="0"/>
    <n v="1"/>
    <x v="1"/>
    <s v="قهوة"/>
    <m/>
    <m/>
    <x v="2"/>
    <x v="3"/>
    <s v="مسبق الدفع"/>
    <x v="2"/>
    <d v="2024-09-07T00:00:00"/>
    <d v="2024-08-27T00:00:00"/>
    <n v="13"/>
    <n v="2"/>
    <n v="-11"/>
    <x v="2"/>
    <x v="1"/>
    <s v="شركة الشحن"/>
    <s v="خارجي"/>
    <x v="0"/>
  </r>
  <r>
    <s v="اسراء ابو العنين "/>
    <x v="0"/>
    <s v="القاهرة الجديدة"/>
    <x v="0"/>
    <x v="0"/>
    <n v="1"/>
    <x v="0"/>
    <s v="فردي"/>
    <s v="اسباني"/>
    <n v="120"/>
    <x v="1"/>
    <x v="4"/>
    <s v="مسبق الدفع"/>
    <x v="0"/>
    <d v="2024-09-26T00:00:00"/>
    <d v="2024-10-03T00:00:00"/>
    <n v="13"/>
    <n v="20"/>
    <n v="7"/>
    <x v="1"/>
    <x v="0"/>
    <s v="محمود على "/>
    <s v="داخلي"/>
    <x v="0"/>
  </r>
  <r>
    <s v="شيك هومز "/>
    <x v="1"/>
    <s v="غير محدد"/>
    <x v="3"/>
    <x v="1"/>
    <n v="1"/>
    <x v="2"/>
    <s v="سرير"/>
    <m/>
    <m/>
    <x v="3"/>
    <x v="5"/>
    <s v="مسبق الدفع"/>
    <x v="3"/>
    <d v="2024-09-03T00:00:00"/>
    <d v="2024-09-05T00:00:00"/>
    <n v="20"/>
    <n v="22"/>
    <n v="2"/>
    <x v="0"/>
    <x v="0"/>
    <s v="شركة الشحن"/>
    <s v="خارجي"/>
    <x v="0"/>
  </r>
  <r>
    <s v="احمد "/>
    <x v="0"/>
    <s v="غير محدد"/>
    <x v="3"/>
    <x v="2"/>
    <n v="1"/>
    <x v="2"/>
    <s v="سرير"/>
    <m/>
    <m/>
    <x v="3"/>
    <x v="6"/>
    <s v="كاش"/>
    <x v="4"/>
    <d v="2024-08-20T00:00:00"/>
    <d v="2024-08-19T00:00:00"/>
    <n v="3"/>
    <n v="2"/>
    <n v="-1"/>
    <x v="2"/>
    <x v="1"/>
    <s v="شركة الشحن"/>
    <s v="خارجي"/>
    <x v="0"/>
  </r>
  <r>
    <s v="مها "/>
    <x v="0"/>
    <s v="العين السخنة"/>
    <x v="4"/>
    <x v="0"/>
    <n v="1"/>
    <x v="0"/>
    <s v="دورين"/>
    <s v="كيفنج"/>
    <n v="140"/>
    <x v="4"/>
    <x v="7"/>
    <s v="مسبق الدفع"/>
    <x v="0"/>
    <d v="2024-09-30T00:00:00"/>
    <d v="2024-10-03T00:00:00"/>
    <n v="17"/>
    <n v="20"/>
    <n v="3"/>
    <x v="0"/>
    <x v="0"/>
    <s v="شركة الشحن"/>
    <s v="خارجي"/>
    <x v="0"/>
  </r>
  <r>
    <s v="تاكى "/>
    <x v="1"/>
    <s v="العباسية"/>
    <x v="0"/>
    <x v="3"/>
    <n v="1"/>
    <x v="3"/>
    <s v="سرير"/>
    <m/>
    <m/>
    <x v="2"/>
    <x v="8"/>
    <s v="كاش"/>
    <x v="5"/>
    <d v="2024-09-01T00:00:00"/>
    <d v="2024-09-17T00:00:00"/>
    <n v="13"/>
    <n v="29"/>
    <n v="16"/>
    <x v="1"/>
    <x v="0"/>
    <s v="غير معروف"/>
    <s v="غير معروف"/>
    <x v="0"/>
  </r>
  <r>
    <s v="تاكى "/>
    <x v="1"/>
    <s v="العباسية"/>
    <x v="0"/>
    <x v="3"/>
    <n v="2"/>
    <x v="2"/>
    <s v="سحارة"/>
    <m/>
    <m/>
    <x v="2"/>
    <x v="9"/>
    <s v="كاش"/>
    <x v="6"/>
    <m/>
    <m/>
    <m/>
    <m/>
    <m/>
    <x v="1"/>
    <x v="0"/>
    <s v="فشل التسليم "/>
    <s v="داخلي"/>
    <x v="1"/>
  </r>
  <r>
    <s v="تاكى "/>
    <x v="1"/>
    <s v="العباسية"/>
    <x v="0"/>
    <x v="3"/>
    <n v="2"/>
    <x v="2"/>
    <s v="سحارة"/>
    <m/>
    <m/>
    <x v="2"/>
    <x v="10"/>
    <s v="كاش"/>
    <x v="2"/>
    <d v="2024-09-15T00:00:00"/>
    <d v="2024-09-17T00:00:00"/>
    <n v="21"/>
    <n v="23"/>
    <n v="2"/>
    <x v="0"/>
    <x v="0"/>
    <s v="محمود على "/>
    <s v="داخلي"/>
    <x v="0"/>
  </r>
  <r>
    <s v="عبير نور الدين"/>
    <x v="0"/>
    <s v="بولاق الدكرور"/>
    <x v="1"/>
    <x v="2"/>
    <n v="1"/>
    <x v="0"/>
    <s v="ثلاثة أدوار"/>
    <m/>
    <n v="100"/>
    <x v="2"/>
    <x v="11"/>
    <s v="كاش"/>
    <x v="7"/>
    <d v="2024-09-26T00:00:00"/>
    <m/>
    <n v="14"/>
    <m/>
    <m/>
    <x v="1"/>
    <x v="0"/>
    <s v="فشل التسليم"/>
    <s v="داخلي"/>
    <x v="1"/>
  </r>
  <r>
    <s v="سعيد"/>
    <x v="0"/>
    <s v="سيدى عبد الرحمن"/>
    <x v="5"/>
    <x v="0"/>
    <n v="1"/>
    <x v="0"/>
    <s v="دورين"/>
    <s v="كيفنج"/>
    <n v="90"/>
    <x v="2"/>
    <x v="12"/>
    <s v="كاش"/>
    <x v="8"/>
    <m/>
    <m/>
    <m/>
    <m/>
    <m/>
    <x v="1"/>
    <x v="0"/>
    <s v="فشل التسليم "/>
    <s v="داخلي"/>
    <x v="1"/>
  </r>
  <r>
    <s v="لينا "/>
    <x v="0"/>
    <s v="المقطم "/>
    <x v="0"/>
    <x v="0"/>
    <n v="1"/>
    <x v="1"/>
    <s v="قهوة"/>
    <m/>
    <m/>
    <x v="2"/>
    <x v="13"/>
    <s v="مسبق الدفع"/>
    <x v="9"/>
    <d v="2024-09-16T00:00:00"/>
    <d v="2024-09-25T00:00:00"/>
    <n v="12"/>
    <n v="21"/>
    <n v="9"/>
    <x v="1"/>
    <x v="0"/>
    <s v="شركة الشحن"/>
    <s v="خارجي"/>
    <x v="2"/>
  </r>
  <r>
    <s v="فيصل نعيم "/>
    <x v="0"/>
    <s v="التجمع الخامس "/>
    <x v="0"/>
    <x v="4"/>
    <n v="2"/>
    <x v="0"/>
    <s v="دورين"/>
    <s v="كيفنج"/>
    <n v="120"/>
    <x v="1"/>
    <x v="14"/>
    <s v="كاش"/>
    <x v="10"/>
    <d v="2024-09-16T00:00:00"/>
    <d v="2024-09-15T00:00:00"/>
    <n v="13"/>
    <n v="12"/>
    <n v="-1"/>
    <x v="2"/>
    <x v="1"/>
    <s v="محمود على "/>
    <s v="داخلي"/>
    <x v="0"/>
  </r>
  <r>
    <s v="شيك هومز "/>
    <x v="1"/>
    <s v="غير محدد"/>
    <x v="3"/>
    <x v="1"/>
    <n v="1"/>
    <x v="0"/>
    <s v="دورين"/>
    <s v="كينج"/>
    <n v="100"/>
    <x v="2"/>
    <x v="15"/>
    <s v="كاش"/>
    <x v="11"/>
    <d v="2024-09-19T00:00:00"/>
    <d v="2024-09-21T00:00:00"/>
    <n v="18"/>
    <n v="20"/>
    <n v="2"/>
    <x v="0"/>
    <x v="0"/>
    <s v="محمود على "/>
    <s v="داخلي"/>
    <x v="0"/>
  </r>
  <r>
    <s v="احمد "/>
    <x v="0"/>
    <s v="القاهرة الجديدة"/>
    <x v="0"/>
    <x v="0"/>
    <n v="4"/>
    <x v="0"/>
    <s v="فردي"/>
    <s v="فورجينا"/>
    <n v="80"/>
    <x v="0"/>
    <x v="16"/>
    <s v="مسبق الدفع"/>
    <x v="12"/>
    <d v="2024-09-16T00:00:00"/>
    <d v="2024-09-21T00:00:00"/>
    <n v="10"/>
    <n v="15"/>
    <n v="5"/>
    <x v="1"/>
    <x v="0"/>
    <s v="محمود على "/>
    <s v="داخلي"/>
    <x v="0"/>
  </r>
  <r>
    <s v="تاكى"/>
    <x v="1"/>
    <s v="العباسية"/>
    <x v="0"/>
    <x v="3"/>
    <n v="2"/>
    <x v="4"/>
    <m/>
    <s v="فنيسيا"/>
    <m/>
    <x v="2"/>
    <x v="17"/>
    <s v="كاش"/>
    <x v="9"/>
    <d v="2024-09-15T00:00:00"/>
    <d v="2024-09-17T00:00:00"/>
    <n v="11"/>
    <n v="13"/>
    <n v="2"/>
    <x v="0"/>
    <x v="0"/>
    <s v="محمود على "/>
    <s v="داخلي"/>
    <x v="0"/>
  </r>
  <r>
    <s v="احمد "/>
    <x v="0"/>
    <s v="القاهرة الجديدة"/>
    <x v="0"/>
    <x v="0"/>
    <n v="4"/>
    <x v="0"/>
    <s v="فردي"/>
    <s v="فورجينا"/>
    <n v="80"/>
    <x v="0"/>
    <x v="16"/>
    <s v="مسبق الدفع"/>
    <x v="12"/>
    <d v="2024-09-16T00:00:00"/>
    <d v="2024-09-21T00:00:00"/>
    <n v="10"/>
    <n v="15"/>
    <n v="5"/>
    <x v="1"/>
    <x v="0"/>
    <s v="محمود على "/>
    <s v="داخلي"/>
    <x v="0"/>
  </r>
  <r>
    <s v="احمد "/>
    <x v="0"/>
    <s v="القاهرة الجديدة"/>
    <x v="0"/>
    <x v="0"/>
    <n v="4"/>
    <x v="0"/>
    <s v="فردي"/>
    <s v="فورجينا"/>
    <n v="80"/>
    <x v="0"/>
    <x v="16"/>
    <s v="مسبق الدفع"/>
    <x v="12"/>
    <d v="2024-09-16T00:00:00"/>
    <d v="2024-09-21T00:00:00"/>
    <n v="10"/>
    <n v="15"/>
    <n v="5"/>
    <x v="1"/>
    <x v="0"/>
    <s v="محمود على "/>
    <s v="داخلي"/>
    <x v="0"/>
  </r>
  <r>
    <s v="احمد "/>
    <x v="0"/>
    <s v="القاهرة الجديدة"/>
    <x v="0"/>
    <x v="0"/>
    <n v="4"/>
    <x v="0"/>
    <s v="فردي"/>
    <s v="فورجينا"/>
    <n v="80"/>
    <x v="0"/>
    <x v="16"/>
    <s v="مسبق الدفع"/>
    <x v="12"/>
    <d v="2024-09-16T00:00:00"/>
    <d v="2024-09-21T00:00:00"/>
    <n v="10"/>
    <n v="15"/>
    <n v="5"/>
    <x v="1"/>
    <x v="0"/>
    <s v="محمود على "/>
    <s v="داخلي"/>
    <x v="0"/>
  </r>
  <r>
    <s v="صفاء"/>
    <x v="0"/>
    <s v="المعادى"/>
    <x v="0"/>
    <x v="0"/>
    <n v="1"/>
    <x v="1"/>
    <s v="قهوة"/>
    <m/>
    <m/>
    <x v="2"/>
    <x v="18"/>
    <s v="مسبق الدفع"/>
    <x v="10"/>
    <d v="2024-10-16T00:00:00"/>
    <m/>
    <n v="43"/>
    <m/>
    <m/>
    <x v="1"/>
    <x v="0"/>
    <s v="فشل التسليم"/>
    <s v="داخلي"/>
    <x v="1"/>
  </r>
  <r>
    <s v="ellho elkafy"/>
    <x v="1"/>
    <s v="مدينة نصر "/>
    <x v="0"/>
    <x v="0"/>
    <n v="1"/>
    <x v="0"/>
    <s v="دورين"/>
    <s v="كينج"/>
    <n v="80"/>
    <x v="2"/>
    <x v="19"/>
    <s v="كاش"/>
    <x v="9"/>
    <d v="2024-09-18T00:00:00"/>
    <m/>
    <n v="14"/>
    <m/>
    <m/>
    <x v="1"/>
    <x v="0"/>
    <s v="فشل التسليم"/>
    <s v="داخلي"/>
    <x v="1"/>
  </r>
  <r>
    <s v="شيك هومز "/>
    <x v="1"/>
    <s v="غير محدد"/>
    <x v="3"/>
    <x v="1"/>
    <n v="1"/>
    <x v="0"/>
    <s v="دورين"/>
    <s v="كينج"/>
    <n v="100"/>
    <x v="2"/>
    <x v="15"/>
    <s v="كاش"/>
    <x v="11"/>
    <d v="2024-09-19T00:00:00"/>
    <d v="2024-09-21T00:00:00"/>
    <n v="18"/>
    <n v="20"/>
    <n v="2"/>
    <x v="0"/>
    <x v="0"/>
    <s v="محمود على "/>
    <s v="داخلي"/>
    <x v="0"/>
  </r>
  <r>
    <s v="زينا "/>
    <x v="0"/>
    <s v="سيدى عبد الرحمن"/>
    <x v="5"/>
    <x v="0"/>
    <n v="1"/>
    <x v="0"/>
    <s v="دورين"/>
    <s v="نوفال"/>
    <n v="100"/>
    <x v="2"/>
    <x v="20"/>
    <s v="كاش"/>
    <x v="13"/>
    <d v="2024-08-31T00:00:00"/>
    <m/>
    <n v="15"/>
    <m/>
    <m/>
    <x v="1"/>
    <x v="0"/>
    <s v="فشل التسليم "/>
    <s v="داخلي"/>
    <x v="1"/>
  </r>
  <r>
    <s v="اوسكار راتن"/>
    <x v="1"/>
    <s v="القناطر الخيرية"/>
    <x v="6"/>
    <x v="4"/>
    <n v="2"/>
    <x v="0"/>
    <s v="فردي"/>
    <s v="فورجينا"/>
    <n v="120"/>
    <x v="0"/>
    <x v="21"/>
    <s v="حساب شركه"/>
    <x v="7"/>
    <d v="2024-09-21T00:00:00"/>
    <d v="2024-09-22T00:00:00"/>
    <n v="9"/>
    <n v="10"/>
    <n v="1"/>
    <x v="0"/>
    <x v="0"/>
    <s v="محمود على "/>
    <s v="داخلي"/>
    <x v="0"/>
  </r>
  <r>
    <s v="اوسكار راتن"/>
    <x v="1"/>
    <s v="القناطر الخيرية"/>
    <x v="6"/>
    <x v="4"/>
    <n v="2"/>
    <x v="0"/>
    <s v="فردي"/>
    <s v="ارفيل"/>
    <n v="120"/>
    <x v="1"/>
    <x v="21"/>
    <s v="مسبق الدفع"/>
    <x v="7"/>
    <d v="2024-09-21T00:00:00"/>
    <d v="2024-09-22T00:00:00"/>
    <n v="9"/>
    <n v="10"/>
    <n v="1"/>
    <x v="0"/>
    <x v="0"/>
    <s v="محمود على "/>
    <s v="داخلي"/>
    <x v="0"/>
  </r>
  <r>
    <s v="على رشوان "/>
    <x v="0"/>
    <s v="مصر الجديدة"/>
    <x v="0"/>
    <x v="0"/>
    <n v="1"/>
    <x v="0"/>
    <s v="دورين"/>
    <s v="نوفال"/>
    <n v="80"/>
    <x v="2"/>
    <x v="22"/>
    <s v="كاش"/>
    <x v="11"/>
    <d v="2024-09-16T00:00:00"/>
    <d v="2024-09-08T00:00:00"/>
    <n v="15"/>
    <n v="7"/>
    <n v="-8"/>
    <x v="2"/>
    <x v="1"/>
    <s v="شركة الشحن"/>
    <s v="خارجي"/>
    <x v="0"/>
  </r>
  <r>
    <s v="يوسف شناوى"/>
    <x v="0"/>
    <s v="الإبراهيمية"/>
    <x v="7"/>
    <x v="0"/>
    <n v="1"/>
    <x v="1"/>
    <s v="قهوة"/>
    <m/>
    <m/>
    <x v="2"/>
    <x v="23"/>
    <s v="مسبق الدفع"/>
    <x v="1"/>
    <d v="2024-09-22T00:00:00"/>
    <d v="2024-09-24T00:00:00"/>
    <n v="8"/>
    <n v="10"/>
    <n v="2"/>
    <x v="0"/>
    <x v="0"/>
    <s v="شركة الشحن"/>
    <s v="خارجي"/>
    <x v="0"/>
  </r>
  <r>
    <s v="yilmaz"/>
    <x v="0"/>
    <s v="غير محدد"/>
    <x v="3"/>
    <x v="0"/>
    <n v="1"/>
    <x v="0"/>
    <s v="فردي"/>
    <m/>
    <m/>
    <x v="2"/>
    <x v="24"/>
    <s v="مسبق الدفع"/>
    <x v="2"/>
    <d v="2024-09-03T00:00:00"/>
    <d v="2024-09-10T00:00:00"/>
    <n v="9"/>
    <n v="16"/>
    <n v="7"/>
    <x v="1"/>
    <x v="0"/>
    <s v="شركة الشحن"/>
    <s v="خارجي"/>
    <x v="0"/>
  </r>
  <r>
    <s v="رنا "/>
    <x v="0"/>
    <s v="القطامية"/>
    <x v="0"/>
    <x v="0"/>
    <n v="1"/>
    <x v="1"/>
    <s v="قهوة"/>
    <m/>
    <m/>
    <x v="2"/>
    <x v="25"/>
    <s v="كاش"/>
    <x v="7"/>
    <d v="2024-09-26T00:00:00"/>
    <m/>
    <n v="14"/>
    <m/>
    <m/>
    <x v="1"/>
    <x v="0"/>
    <s v="شركة الشحن"/>
    <s v="خارجي"/>
    <x v="0"/>
  </r>
  <r>
    <s v="حسن حازم"/>
    <x v="0"/>
    <s v="٦ اكتوبر"/>
    <x v="1"/>
    <x v="0"/>
    <n v="1"/>
    <x v="0"/>
    <s v="فردي"/>
    <s v="اسباني"/>
    <n v="120"/>
    <x v="2"/>
    <x v="26"/>
    <s v="مسبق الدفع"/>
    <x v="14"/>
    <d v="2024-09-17T00:00:00"/>
    <d v="2024-09-21T00:00:00"/>
    <n v="8"/>
    <n v="12"/>
    <n v="4"/>
    <x v="1"/>
    <x v="0"/>
    <s v="محمود على "/>
    <s v="داخلي"/>
    <x v="0"/>
  </r>
  <r>
    <s v="احمد فخرى "/>
    <x v="0"/>
    <s v="٦ اكتوبر"/>
    <x v="1"/>
    <x v="0"/>
    <n v="1"/>
    <x v="0"/>
    <s v="فردي"/>
    <s v="نوفال"/>
    <n v="80"/>
    <x v="0"/>
    <x v="27"/>
    <s v="كاش"/>
    <x v="15"/>
    <d v="2024-09-14T00:00:00"/>
    <m/>
    <n v="9"/>
    <m/>
    <m/>
    <x v="1"/>
    <x v="0"/>
    <s v="فشل التسليم"/>
    <s v="داخلي"/>
    <x v="1"/>
  </r>
  <r>
    <s v="وائل صادق"/>
    <x v="0"/>
    <s v="القاهرة الجديدة"/>
    <x v="0"/>
    <x v="0"/>
    <n v="1"/>
    <x v="0"/>
    <s v="فردي"/>
    <s v="كورين"/>
    <n v="140"/>
    <x v="5"/>
    <x v="28"/>
    <s v="مسبق الدفع"/>
    <x v="0"/>
    <d v="2024-09-26T00:00:00"/>
    <d v="2024-10-03T00:00:00"/>
    <n v="13"/>
    <n v="20"/>
    <n v="7"/>
    <x v="1"/>
    <x v="0"/>
    <s v="محمود على "/>
    <s v="داخلي"/>
    <x v="0"/>
  </r>
  <r>
    <s v="حسن مغرب "/>
    <x v="0"/>
    <s v="٦ اكتوبر"/>
    <x v="1"/>
    <x v="0"/>
    <n v="1"/>
    <x v="0"/>
    <s v="دورين"/>
    <s v="كيفنج"/>
    <n v="120"/>
    <x v="3"/>
    <x v="29"/>
    <s v="مسبق الدفع"/>
    <x v="1"/>
    <d v="2024-09-27T00:00:00"/>
    <d v="2024-10-02T00:00:00"/>
    <n v="13"/>
    <n v="18"/>
    <n v="5"/>
    <x v="1"/>
    <x v="0"/>
    <s v="محمود على "/>
    <s v="داخلي"/>
    <x v="0"/>
  </r>
  <r>
    <s v="مصطفي غنيم "/>
    <x v="0"/>
    <s v="غير محدد"/>
    <x v="8"/>
    <x v="0"/>
    <n v="1"/>
    <x v="0"/>
    <s v="دورين"/>
    <s v="كيفنج"/>
    <n v="120"/>
    <x v="3"/>
    <x v="29"/>
    <s v="مسبق الدفع"/>
    <x v="1"/>
    <d v="2024-11-20T00:00:00"/>
    <d v="2024-10-17T00:00:00"/>
    <n v="67"/>
    <n v="33"/>
    <n v="-34"/>
    <x v="2"/>
    <x v="1"/>
    <s v="شركة الشحن"/>
    <s v="خارجي"/>
    <x v="0"/>
  </r>
  <r>
    <s v="هشام بسيونى "/>
    <x v="0"/>
    <s v="حدائق الأهرام"/>
    <x v="1"/>
    <x v="0"/>
    <n v="2"/>
    <x v="0"/>
    <s v="دورين"/>
    <s v="كيفنج"/>
    <n v="100"/>
    <x v="1"/>
    <x v="30"/>
    <s v="كاش"/>
    <x v="7"/>
    <d v="2024-09-29T00:00:00"/>
    <d v="2024-10-02T00:00:00"/>
    <n v="17"/>
    <n v="20"/>
    <n v="3"/>
    <x v="0"/>
    <x v="0"/>
    <s v="محمود على "/>
    <s v="داخلي"/>
    <x v="0"/>
  </r>
  <r>
    <s v="هشام بسيونى "/>
    <x v="0"/>
    <s v="حدائق الأهرام"/>
    <x v="1"/>
    <x v="0"/>
    <n v="2"/>
    <x v="0"/>
    <s v="دورين"/>
    <s v="كيفنج"/>
    <n v="100"/>
    <x v="1"/>
    <x v="30"/>
    <s v="كاش"/>
    <x v="7"/>
    <d v="2024-09-29T00:00:00"/>
    <d v="2024-10-02T00:00:00"/>
    <n v="17"/>
    <n v="20"/>
    <n v="3"/>
    <x v="0"/>
    <x v="0"/>
    <s v="محمود على "/>
    <s v="داخلي"/>
    <x v="0"/>
  </r>
  <r>
    <s v="ساره وجيه "/>
    <x v="0"/>
    <s v="غير محدد"/>
    <x v="2"/>
    <x v="0"/>
    <n v="1"/>
    <x v="0"/>
    <s v="دورين"/>
    <s v="كيفنج"/>
    <n v="80"/>
    <x v="0"/>
    <x v="31"/>
    <s v="مسبق الدفع"/>
    <x v="0"/>
    <d v="2024-09-30T00:00:00"/>
    <d v="2024-10-16T00:00:00"/>
    <n v="17"/>
    <n v="33"/>
    <n v="16"/>
    <x v="1"/>
    <x v="0"/>
    <s v="شركة الشحن"/>
    <s v="خارجي"/>
    <x v="0"/>
  </r>
  <r>
    <s v="اسراء ابراهيم "/>
    <x v="0"/>
    <s v="٦ اكتوبر"/>
    <x v="1"/>
    <x v="0"/>
    <n v="1"/>
    <x v="0"/>
    <s v="دورين"/>
    <s v="كيفنج"/>
    <n v="80"/>
    <x v="0"/>
    <x v="31"/>
    <s v="مسبق الدفع"/>
    <x v="0"/>
    <d v="2024-09-30T00:00:00"/>
    <d v="2024-10-15T00:00:00"/>
    <n v="17"/>
    <n v="32"/>
    <n v="15"/>
    <x v="1"/>
    <x v="0"/>
    <s v="محمود على "/>
    <s v="داخلي"/>
    <x v="0"/>
  </r>
  <r>
    <s v="بسام الشربينى "/>
    <x v="0"/>
    <s v="٦ اكتوبر"/>
    <x v="1"/>
    <x v="0"/>
    <n v="1"/>
    <x v="0"/>
    <s v="دورين"/>
    <s v="كينج"/>
    <n v="120"/>
    <x v="6"/>
    <x v="32"/>
    <s v="مسبق الدفع"/>
    <x v="0"/>
    <d v="2024-09-30T00:00:00"/>
    <d v="2024-10-20T00:00:00"/>
    <n v="17"/>
    <n v="37"/>
    <n v="20"/>
    <x v="1"/>
    <x v="0"/>
    <s v="محمود على "/>
    <s v="داخلي"/>
    <x v="0"/>
  </r>
  <r>
    <s v="صفاء الحكيم"/>
    <x v="0"/>
    <s v="العين السخنة"/>
    <x v="4"/>
    <x v="0"/>
    <n v="1"/>
    <x v="0"/>
    <s v="منطبق"/>
    <m/>
    <m/>
    <x v="1"/>
    <x v="33"/>
    <s v="مسبق الدفع"/>
    <x v="1"/>
    <d v="2024-09-22T00:00:00"/>
    <m/>
    <n v="8"/>
    <m/>
    <m/>
    <x v="1"/>
    <x v="0"/>
    <s v="فشل التسليم "/>
    <s v="داخلي"/>
    <x v="1"/>
  </r>
  <r>
    <s v="هبه عبد الفتاح "/>
    <x v="0"/>
    <s v="القاهرة الجديدة"/>
    <x v="0"/>
    <x v="0"/>
    <n v="1"/>
    <x v="2"/>
    <s v="سرير"/>
    <m/>
    <m/>
    <x v="1"/>
    <x v="34"/>
    <s v="مسبق الدفع"/>
    <x v="0"/>
    <d v="2024-09-30T00:00:00"/>
    <m/>
    <n v="17"/>
    <m/>
    <m/>
    <x v="1"/>
    <x v="0"/>
    <s v="محمود على "/>
    <s v="داخلي"/>
    <x v="0"/>
  </r>
  <r>
    <s v="حاتم العيسوي "/>
    <x v="0"/>
    <s v="٦ اكتوبر"/>
    <x v="1"/>
    <x v="0"/>
    <n v="1"/>
    <x v="0"/>
    <s v="منطبق"/>
    <m/>
    <m/>
    <x v="1"/>
    <x v="33"/>
    <s v="مسبق الدفع"/>
    <x v="0"/>
    <d v="2024-09-24T00:00:00"/>
    <d v="2024-09-30T00:00:00"/>
    <n v="11"/>
    <n v="17"/>
    <n v="6"/>
    <x v="1"/>
    <x v="0"/>
    <s v="شركة الشحن"/>
    <s v="خارجي"/>
    <x v="0"/>
  </r>
  <r>
    <s v="ميار خورشد"/>
    <x v="0"/>
    <s v="٦ اكتوبر"/>
    <x v="1"/>
    <x v="0"/>
    <n v="1"/>
    <x v="0"/>
    <s v="منطبق"/>
    <m/>
    <m/>
    <x v="1"/>
    <x v="33"/>
    <s v="مسبق الدفع"/>
    <x v="1"/>
    <d v="2024-10-29T00:00:00"/>
    <d v="2024-10-15T00:00:00"/>
    <n v="45"/>
    <n v="31"/>
    <n v="-14"/>
    <x v="2"/>
    <x v="1"/>
    <s v="محمود على "/>
    <s v="داخلي"/>
    <x v="0"/>
  </r>
  <r>
    <s v="ديفد بهجت "/>
    <x v="0"/>
    <s v="فيصل"/>
    <x v="1"/>
    <x v="0"/>
    <n v="1"/>
    <x v="1"/>
    <s v="قهوة"/>
    <m/>
    <m/>
    <x v="2"/>
    <x v="23"/>
    <s v="مسبق الدفع"/>
    <x v="1"/>
    <d v="2024-10-16T00:00:00"/>
    <d v="2024-10-21T00:00:00"/>
    <n v="32"/>
    <n v="37"/>
    <n v="5"/>
    <x v="1"/>
    <x v="0"/>
    <s v="محمود على "/>
    <s v="داخلي"/>
    <x v="0"/>
  </r>
  <r>
    <s v="اياد "/>
    <x v="0"/>
    <s v="المقطم "/>
    <x v="0"/>
    <x v="0"/>
    <n v="1"/>
    <x v="1"/>
    <s v="قهوة"/>
    <m/>
    <m/>
    <x v="2"/>
    <x v="13"/>
    <s v="مسبق الدفع"/>
    <x v="1"/>
    <d v="2024-10-29T00:00:00"/>
    <d v="2024-10-30T00:00:00"/>
    <n v="45"/>
    <n v="46"/>
    <n v="1"/>
    <x v="0"/>
    <x v="0"/>
    <s v="محمود على "/>
    <s v="داخلي"/>
    <x v="0"/>
  </r>
  <r>
    <s v="محمود"/>
    <x v="0"/>
    <s v="سموحة"/>
    <x v="7"/>
    <x v="0"/>
    <n v="1"/>
    <x v="0"/>
    <s v="منطبق"/>
    <m/>
    <m/>
    <x v="1"/>
    <x v="35"/>
    <s v="كاش"/>
    <x v="16"/>
    <m/>
    <d v="2024-08-11T00:00:00"/>
    <m/>
    <n v="14"/>
    <m/>
    <x v="1"/>
    <x v="0"/>
    <s v="شركة الشحن"/>
    <s v="خارجي"/>
    <x v="0"/>
  </r>
  <r>
    <s v="خالد عبد القوى "/>
    <x v="0"/>
    <s v="العجوزة"/>
    <x v="1"/>
    <x v="0"/>
    <n v="1"/>
    <x v="0"/>
    <s v="منطبق"/>
    <m/>
    <m/>
    <x v="0"/>
    <x v="35"/>
    <s v="مسبق الدفع"/>
    <x v="8"/>
    <m/>
    <d v="2024-08-10T00:00:00"/>
    <m/>
    <n v="14"/>
    <m/>
    <x v="1"/>
    <x v="0"/>
    <s v="شركة الشحن"/>
    <s v="خارجي"/>
    <x v="0"/>
  </r>
  <r>
    <s v="كينج سونا "/>
    <x v="1"/>
    <s v="الشروق"/>
    <x v="0"/>
    <x v="0"/>
    <n v="1"/>
    <x v="1"/>
    <s v="قهوة"/>
    <m/>
    <m/>
    <x v="2"/>
    <x v="23"/>
    <s v="مسبق الدفع"/>
    <x v="1"/>
    <d v="2024-10-29T00:00:00"/>
    <d v="2024-10-19T00:00:00"/>
    <n v="45"/>
    <n v="35"/>
    <n v="-10"/>
    <x v="2"/>
    <x v="1"/>
    <s v="محمود على "/>
    <s v="داخلي"/>
    <x v="0"/>
  </r>
  <r>
    <s v="احمد خالد "/>
    <x v="0"/>
    <s v="الرحاب"/>
    <x v="0"/>
    <x v="0"/>
    <n v="2"/>
    <x v="0"/>
    <s v="فردى"/>
    <s v="فورجينا"/>
    <n v="120"/>
    <x v="0"/>
    <x v="36"/>
    <s v="مسبق الدفع"/>
    <x v="1"/>
    <d v="2024-10-29T00:00:00"/>
    <m/>
    <n v="45"/>
    <m/>
    <m/>
    <x v="1"/>
    <x v="0"/>
    <s v="فشل التسليم"/>
    <s v="داخلي"/>
    <x v="1"/>
  </r>
  <r>
    <s v="احمد خالد "/>
    <x v="0"/>
    <s v="الرحاب"/>
    <x v="0"/>
    <x v="0"/>
    <n v="2"/>
    <x v="0"/>
    <s v="فردى"/>
    <s v="فورجينا"/>
    <n v="120"/>
    <x v="0"/>
    <x v="36"/>
    <s v="مسبق الدفع"/>
    <x v="1"/>
    <d v="2024-10-29T00:00:00"/>
    <m/>
    <n v="45"/>
    <m/>
    <m/>
    <x v="1"/>
    <x v="0"/>
    <s v="فشل التسليم"/>
    <s v="داخلي"/>
    <x v="1"/>
  </r>
  <r>
    <s v="ساره"/>
    <x v="0"/>
    <s v="القاهرة الجديدة"/>
    <x v="0"/>
    <x v="0"/>
    <n v="2"/>
    <x v="0"/>
    <s v="فردي"/>
    <s v="اسباني"/>
    <n v="120"/>
    <x v="0"/>
    <x v="26"/>
    <s v="مسبق الدفع"/>
    <x v="1"/>
    <d v="2024-10-29T00:00:00"/>
    <d v="2024-10-13T00:00:00"/>
    <n v="45"/>
    <n v="29"/>
    <n v="-16"/>
    <x v="2"/>
    <x v="1"/>
    <s v="محمود على "/>
    <s v="داخلي"/>
    <x v="0"/>
  </r>
  <r>
    <s v="ساره"/>
    <x v="0"/>
    <s v="القاهرة الجديدة"/>
    <x v="0"/>
    <x v="0"/>
    <n v="2"/>
    <x v="0"/>
    <s v="فردي"/>
    <s v="اسباني"/>
    <n v="120"/>
    <x v="0"/>
    <x v="26"/>
    <s v="مسبق الدفع"/>
    <x v="1"/>
    <d v="2024-10-29T00:00:00"/>
    <d v="2024-10-13T00:00:00"/>
    <n v="45"/>
    <n v="29"/>
    <n v="-16"/>
    <x v="2"/>
    <x v="1"/>
    <s v="محمود على "/>
    <s v="داخلي"/>
    <x v="0"/>
  </r>
  <r>
    <s v="احمد ايمن "/>
    <x v="0"/>
    <s v="العبور"/>
    <x v="6"/>
    <x v="0"/>
    <n v="1"/>
    <x v="1"/>
    <s v="قهوة"/>
    <m/>
    <m/>
    <x v="2"/>
    <x v="37"/>
    <s v="مسبق الدفع"/>
    <x v="1"/>
    <d v="2024-10-29T00:00:00"/>
    <d v="2024-10-19T00:00:00"/>
    <n v="45"/>
    <n v="35"/>
    <n v="-10"/>
    <x v="2"/>
    <x v="1"/>
    <s v="محمود على "/>
    <s v="داخلي"/>
    <x v="0"/>
  </r>
  <r>
    <s v="على السيد "/>
    <x v="0"/>
    <s v="الشروق"/>
    <x v="0"/>
    <x v="0"/>
    <n v="1"/>
    <x v="0"/>
    <s v="دورين"/>
    <s v="نوفال"/>
    <n v="90"/>
    <x v="1"/>
    <x v="38"/>
    <s v="مسبق الدفع"/>
    <x v="7"/>
    <d v="2024-09-29T00:00:00"/>
    <m/>
    <n v="17"/>
    <m/>
    <m/>
    <x v="1"/>
    <x v="0"/>
    <s v="غير معروف"/>
    <s v="غير معروف"/>
    <x v="0"/>
  </r>
  <r>
    <s v="حسام عبدون"/>
    <x v="0"/>
    <s v="غير محدد"/>
    <x v="2"/>
    <x v="0"/>
    <n v="1"/>
    <x v="2"/>
    <s v="سرير"/>
    <m/>
    <m/>
    <x v="1"/>
    <x v="34"/>
    <s v="مسبق الدفع"/>
    <x v="1"/>
    <d v="2024-11-20T00:00:00"/>
    <m/>
    <n v="67"/>
    <m/>
    <m/>
    <x v="1"/>
    <x v="0"/>
    <s v="فشل التسليم"/>
    <s v="داخلي"/>
    <x v="1"/>
  </r>
  <r>
    <s v="رامى "/>
    <x v="0"/>
    <s v="الشروق"/>
    <x v="0"/>
    <x v="0"/>
    <n v="1"/>
    <x v="0"/>
    <s v="دورين"/>
    <s v="نوفال"/>
    <n v="100"/>
    <x v="3"/>
    <x v="39"/>
    <s v="مسبق الدفع"/>
    <x v="1"/>
    <d v="2024-11-20T00:00:00"/>
    <d v="2024-10-01T00:00:00"/>
    <n v="67"/>
    <n v="17"/>
    <n v="-50"/>
    <x v="2"/>
    <x v="1"/>
    <s v="شركة الشحن"/>
    <s v="خارجي"/>
    <x v="0"/>
  </r>
  <r>
    <s v="رحاب"/>
    <x v="0"/>
    <s v="القاهرة الجديدة"/>
    <x v="0"/>
    <x v="0"/>
    <n v="1"/>
    <x v="2"/>
    <s v="سرير"/>
    <m/>
    <m/>
    <x v="1"/>
    <x v="34"/>
    <s v="مسبق الدفع"/>
    <x v="1"/>
    <d v="2024-11-20T00:00:00"/>
    <d v="2024-10-09T00:00:00"/>
    <n v="67"/>
    <n v="25"/>
    <n v="-42"/>
    <x v="2"/>
    <x v="1"/>
    <s v="محمود على "/>
    <s v="داخلي"/>
    <x v="0"/>
  </r>
  <r>
    <s v="فؤاد المنسي "/>
    <x v="0"/>
    <s v="المقطم "/>
    <x v="0"/>
    <x v="0"/>
    <n v="1"/>
    <x v="0"/>
    <s v="دورين"/>
    <s v="نوفال"/>
    <n v="80"/>
    <x v="0"/>
    <x v="31"/>
    <s v="مسبق الدفع"/>
    <x v="1"/>
    <d v="2024-11-20T00:00:00"/>
    <d v="2024-10-16T00:00:00"/>
    <n v="67"/>
    <n v="32"/>
    <n v="-35"/>
    <x v="2"/>
    <x v="1"/>
    <s v="محمود على "/>
    <s v="داخلي"/>
    <x v="0"/>
  </r>
  <r>
    <s v="mohannad"/>
    <x v="0"/>
    <s v="المعادى"/>
    <x v="0"/>
    <x v="0"/>
    <n v="1"/>
    <x v="0"/>
    <s v="دورين"/>
    <s v="كيفنج"/>
    <n v="80"/>
    <x v="0"/>
    <x v="31"/>
    <s v="مسبق الدفع"/>
    <x v="17"/>
    <d v="2024-11-20T00:00:00"/>
    <d v="2024-10-16T00:00:00"/>
    <n v="66"/>
    <n v="31"/>
    <n v="-35"/>
    <x v="2"/>
    <x v="1"/>
    <s v="محمود على "/>
    <s v="داخلي"/>
    <x v="0"/>
  </r>
  <r>
    <s v="mohannad"/>
    <x v="0"/>
    <s v="المعادى"/>
    <x v="0"/>
    <x v="0"/>
    <n v="1"/>
    <x v="0"/>
    <s v="دورين"/>
    <s v="كيفنج"/>
    <n v="80"/>
    <x v="0"/>
    <x v="31"/>
    <s v="مسبق الدفع"/>
    <x v="17"/>
    <d v="2024-11-20T00:00:00"/>
    <d v="2024-10-16T00:00:00"/>
    <n v="66"/>
    <n v="31"/>
    <n v="-35"/>
    <x v="2"/>
    <x v="1"/>
    <s v="محمود على "/>
    <s v="داخلي"/>
    <x v="0"/>
  </r>
  <r>
    <s v="Mohamed Ayman"/>
    <x v="0"/>
    <s v="مدينة بدر"/>
    <x v="0"/>
    <x v="0"/>
    <n v="1"/>
    <x v="2"/>
    <s v="4*1"/>
    <m/>
    <m/>
    <x v="1"/>
    <x v="34"/>
    <s v="مسبق الدفع"/>
    <x v="17"/>
    <d v="2024-11-20T00:00:00"/>
    <d v="2024-10-19T00:00:00"/>
    <n v="66"/>
    <n v="34"/>
    <n v="-32"/>
    <x v="2"/>
    <x v="1"/>
    <s v="محمود على "/>
    <s v="داخلي"/>
    <x v="0"/>
  </r>
  <r>
    <s v="اسامه"/>
    <x v="0"/>
    <s v="العين السخنة"/>
    <x v="4"/>
    <x v="0"/>
    <n v="1"/>
    <x v="1"/>
    <s v="دورين"/>
    <m/>
    <m/>
    <x v="2"/>
    <x v="13"/>
    <s v="كاش"/>
    <x v="18"/>
    <d v="2024-10-30T00:00:00"/>
    <d v="2024-11-14T00:00:00"/>
    <n v="44"/>
    <n v="59"/>
    <n v="15"/>
    <x v="1"/>
    <x v="0"/>
    <s v="شركة الشحن"/>
    <s v="خارجي"/>
    <x v="0"/>
  </r>
  <r>
    <s v="اوسكار راتن"/>
    <x v="1"/>
    <s v="أبو رواش"/>
    <x v="1"/>
    <x v="4"/>
    <n v="1"/>
    <x v="0"/>
    <s v="دورين"/>
    <s v="كيفنج"/>
    <n v="80"/>
    <x v="0"/>
    <x v="40"/>
    <s v="حساب شركه"/>
    <x v="19"/>
    <d v="2024-10-05T00:00:00"/>
    <d v="2024-10-12T00:00:00"/>
    <n v="14"/>
    <n v="21"/>
    <n v="7"/>
    <x v="1"/>
    <x v="0"/>
    <s v="محمود على "/>
    <s v="داخلي"/>
    <x v="0"/>
  </r>
  <r>
    <s v="تاكى "/>
    <x v="1"/>
    <s v="العباسية"/>
    <x v="0"/>
    <x v="3"/>
    <n v="1"/>
    <x v="0"/>
    <s v="دورين"/>
    <s v="كينج"/>
    <n v="100"/>
    <x v="7"/>
    <x v="41"/>
    <s v="حساب شركه"/>
    <x v="20"/>
    <d v="2024-10-08T00:00:00"/>
    <d v="2024-10-17T00:00:00"/>
    <n v="15"/>
    <n v="24"/>
    <n v="9"/>
    <x v="1"/>
    <x v="0"/>
    <s v="محمود على "/>
    <s v="داخلي"/>
    <x v="0"/>
  </r>
  <r>
    <s v="ولاء بدوى"/>
    <x v="0"/>
    <s v="العباسية"/>
    <x v="0"/>
    <x v="0"/>
    <n v="1"/>
    <x v="0"/>
    <s v="فردي"/>
    <s v="فورجينا"/>
    <n v="120"/>
    <x v="0"/>
    <x v="42"/>
    <s v="كاش"/>
    <x v="21"/>
    <d v="2024-11-10T00:00:00"/>
    <d v="2024-10-10T00:00:00"/>
    <n v="45"/>
    <n v="14"/>
    <n v="-31"/>
    <x v="2"/>
    <x v="1"/>
    <s v="محمود على "/>
    <s v="داخلي"/>
    <x v="0"/>
  </r>
  <r>
    <s v="عبد الرحمن يسري"/>
    <x v="0"/>
    <s v="٦ اكتوبر"/>
    <x v="1"/>
    <x v="0"/>
    <n v="1"/>
    <x v="1"/>
    <s v="قهوة"/>
    <m/>
    <m/>
    <x v="2"/>
    <x v="43"/>
    <s v="كاش"/>
    <x v="21"/>
    <d v="2024-11-10T00:00:00"/>
    <m/>
    <n v="45"/>
    <m/>
    <m/>
    <x v="1"/>
    <x v="0"/>
    <s v="فشل التسليم"/>
    <s v="داخلي"/>
    <x v="1"/>
  </r>
  <r>
    <s v="شيك هومز "/>
    <x v="1"/>
    <s v="التجمع الخامس "/>
    <x v="0"/>
    <x v="1"/>
    <n v="1"/>
    <x v="2"/>
    <s v="4*1"/>
    <m/>
    <m/>
    <x v="8"/>
    <x v="44"/>
    <s v="مسبق الدفع"/>
    <x v="21"/>
    <d v="2024-10-14T00:00:00"/>
    <d v="2024-10-13T00:00:00"/>
    <n v="18"/>
    <n v="17"/>
    <n v="-1"/>
    <x v="2"/>
    <x v="1"/>
    <s v="محمود على "/>
    <s v="داخلي"/>
    <x v="0"/>
  </r>
  <r>
    <s v="شيك هومز "/>
    <x v="1"/>
    <s v="غير محدد"/>
    <x v="3"/>
    <x v="1"/>
    <n v="1"/>
    <x v="0"/>
    <s v="دورين"/>
    <s v="كينج"/>
    <n v="100"/>
    <x v="1"/>
    <x v="45"/>
    <s v="كاش"/>
    <x v="21"/>
    <d v="2024-10-14T00:00:00"/>
    <m/>
    <n v="18"/>
    <m/>
    <m/>
    <x v="1"/>
    <x v="0"/>
    <s v="فشل التسليم"/>
    <s v="داخلي"/>
    <x v="1"/>
  </r>
  <r>
    <s v="شيك هومز "/>
    <x v="1"/>
    <s v="غير محدد"/>
    <x v="3"/>
    <x v="1"/>
    <n v="1"/>
    <x v="0"/>
    <s v="فردي"/>
    <s v="اسباني"/>
    <n v="120"/>
    <x v="0"/>
    <x v="46"/>
    <s v="مسبق الدفع"/>
    <x v="22"/>
    <d v="2024-10-20T00:00:00"/>
    <d v="2024-10-21T00:00:00"/>
    <n v="21"/>
    <n v="22"/>
    <n v="1"/>
    <x v="0"/>
    <x v="0"/>
    <s v="محمود على "/>
    <s v="داخلي"/>
    <x v="0"/>
  </r>
  <r>
    <s v="اوسكار راتن"/>
    <x v="1"/>
    <s v="أبو رواش"/>
    <x v="1"/>
    <x v="4"/>
    <n v="1"/>
    <x v="0"/>
    <s v="فردي"/>
    <s v="فورجينا"/>
    <n v="120"/>
    <x v="0"/>
    <x v="21"/>
    <s v="حساب شركه"/>
    <x v="22"/>
    <d v="2024-10-12T00:00:00"/>
    <d v="2024-10-12T00:00:00"/>
    <n v="13"/>
    <n v="13"/>
    <n v="0"/>
    <x v="0"/>
    <x v="2"/>
    <s v="محمود على "/>
    <s v="داخلي"/>
    <x v="0"/>
  </r>
  <r>
    <s v="الحج محمد السويس"/>
    <x v="0"/>
    <s v="غير محدد"/>
    <x v="4"/>
    <x v="5"/>
    <n v="1"/>
    <x v="0"/>
    <s v="دورين"/>
    <s v="فانتستيك"/>
    <n v="100"/>
    <x v="2"/>
    <x v="45"/>
    <m/>
    <x v="23"/>
    <d v="2024-10-09T00:00:00"/>
    <d v="2024-10-09T00:00:00"/>
    <n v="8"/>
    <n v="8"/>
    <n v="0"/>
    <x v="0"/>
    <x v="2"/>
    <s v="تم التسليم بمعرفه الحج سيد "/>
    <s v="داخلي"/>
    <x v="0"/>
  </r>
  <r>
    <s v="الحج محمد السويس"/>
    <x v="0"/>
    <s v="غير محدد"/>
    <x v="4"/>
    <x v="5"/>
    <n v="1"/>
    <x v="0"/>
    <s v="منطبق"/>
    <m/>
    <m/>
    <x v="1"/>
    <x v="47"/>
    <m/>
    <x v="23"/>
    <d v="2024-10-09T00:00:00"/>
    <d v="2024-10-09T00:00:00"/>
    <n v="8"/>
    <n v="8"/>
    <n v="0"/>
    <x v="0"/>
    <x v="2"/>
    <s v="تم التسليم بمعرفه الحج سيد "/>
    <s v="داخلي"/>
    <x v="0"/>
  </r>
  <r>
    <s v="الحج محمد السويس"/>
    <x v="0"/>
    <s v="غير محدد"/>
    <x v="4"/>
    <x v="5"/>
    <n v="1"/>
    <x v="2"/>
    <m/>
    <s v="فنيسيا"/>
    <m/>
    <x v="1"/>
    <x v="48"/>
    <m/>
    <x v="23"/>
    <d v="2024-10-09T00:00:00"/>
    <d v="2024-10-09T00:00:00"/>
    <n v="8"/>
    <n v="8"/>
    <n v="0"/>
    <x v="0"/>
    <x v="2"/>
    <s v="تم التسليم بمعرفه الحج سيد "/>
    <s v="داخلي"/>
    <x v="0"/>
  </r>
  <r>
    <s v="الحج محمد السويس"/>
    <x v="0"/>
    <s v="غير محدد"/>
    <x v="4"/>
    <x v="5"/>
    <n v="1"/>
    <x v="5"/>
    <m/>
    <m/>
    <m/>
    <x v="1"/>
    <x v="49"/>
    <m/>
    <x v="23"/>
    <d v="2024-10-09T00:00:00"/>
    <d v="2024-10-09T00:00:00"/>
    <n v="8"/>
    <n v="8"/>
    <n v="0"/>
    <x v="0"/>
    <x v="2"/>
    <s v="تم التسليم بمعرفه الحج سيد "/>
    <s v="داخلي"/>
    <x v="0"/>
  </r>
  <r>
    <s v="عمرو الأسود"/>
    <x v="0"/>
    <s v="الزمالك"/>
    <x v="0"/>
    <x v="0"/>
    <n v="1"/>
    <x v="0"/>
    <s v="منطبق"/>
    <m/>
    <m/>
    <x v="1"/>
    <x v="50"/>
    <s v="كاش"/>
    <x v="24"/>
    <d v="2024-11-17T00:00:00"/>
    <m/>
    <n v="45"/>
    <m/>
    <m/>
    <x v="1"/>
    <x v="0"/>
    <s v="غير معروف"/>
    <s v="غير معروف"/>
    <x v="0"/>
  </r>
  <r>
    <s v="شيك هومز "/>
    <x v="1"/>
    <s v="غير محدد"/>
    <x v="3"/>
    <x v="1"/>
    <n v="1"/>
    <x v="2"/>
    <s v="4*1"/>
    <m/>
    <m/>
    <x v="1"/>
    <x v="5"/>
    <s v="مسبق الدفع"/>
    <x v="25"/>
    <d v="2024-10-29T00:00:00"/>
    <d v="2024-10-30T00:00:00"/>
    <n v="21"/>
    <n v="22"/>
    <n v="1"/>
    <x v="0"/>
    <x v="0"/>
    <s v="محمود على "/>
    <s v="داخلي"/>
    <x v="0"/>
  </r>
  <r>
    <s v="شيك هومز "/>
    <x v="1"/>
    <s v="٦ اكتوبر"/>
    <x v="1"/>
    <x v="1"/>
    <n v="1"/>
    <x v="2"/>
    <s v="4*1"/>
    <m/>
    <m/>
    <x v="1"/>
    <x v="5"/>
    <s v="مسبق الدفع"/>
    <x v="26"/>
    <d v="2024-10-29T00:00:00"/>
    <d v="2024-10-15T00:00:00"/>
    <n v="22"/>
    <n v="8"/>
    <n v="-14"/>
    <x v="2"/>
    <x v="1"/>
    <s v="محمود على "/>
    <s v="داخلي"/>
    <x v="0"/>
  </r>
  <r>
    <s v="شيك هومز "/>
    <x v="1"/>
    <s v="غير محدد"/>
    <x v="3"/>
    <x v="1"/>
    <n v="1"/>
    <x v="2"/>
    <s v="4*1"/>
    <m/>
    <m/>
    <x v="1"/>
    <x v="5"/>
    <s v="كاش"/>
    <x v="27"/>
    <d v="2024-10-31T00:00:00"/>
    <d v="2024-11-02T00:00:00"/>
    <n v="21"/>
    <n v="23"/>
    <n v="2"/>
    <x v="0"/>
    <x v="0"/>
    <s v="محمود على "/>
    <s v="داخلي"/>
    <x v="0"/>
  </r>
  <r>
    <s v="keira"/>
    <x v="0"/>
    <s v="القاهرة الجديدة"/>
    <x v="0"/>
    <x v="0"/>
    <n v="1"/>
    <x v="0"/>
    <s v="دورين"/>
    <s v="نوفال "/>
    <s v="100*140"/>
    <x v="9"/>
    <x v="51"/>
    <s v="كاش"/>
    <x v="28"/>
    <d v="2024-12-17T00:00:00"/>
    <d v="2024-11-02T00:00:00"/>
    <n v="65"/>
    <n v="20"/>
    <n v="-45"/>
    <x v="2"/>
    <x v="1"/>
    <s v="محمود على "/>
    <s v="داخلي"/>
    <x v="0"/>
  </r>
  <r>
    <s v="tarek"/>
    <x v="0"/>
    <s v="مصر الجديدة"/>
    <x v="0"/>
    <x v="0"/>
    <n v="1"/>
    <x v="0"/>
    <s v="دورين"/>
    <s v="كيفنج"/>
    <n v="80"/>
    <x v="0"/>
    <x v="22"/>
    <s v="مسبق الدفع"/>
    <x v="29"/>
    <d v="2024-12-19T00:00:00"/>
    <d v="2024-10-21T00:00:00"/>
    <n v="64"/>
    <n v="5"/>
    <n v="-59"/>
    <x v="2"/>
    <x v="1"/>
    <s v="محمود على "/>
    <s v="داخلي"/>
    <x v="0"/>
  </r>
  <r>
    <s v="reem"/>
    <x v="0"/>
    <s v="البطاش"/>
    <x v="7"/>
    <x v="0"/>
    <n v="1"/>
    <x v="0"/>
    <s v="دورين"/>
    <s v="نوفال"/>
    <s v="100*140"/>
    <x v="9"/>
    <x v="52"/>
    <s v="مسبق الدفع"/>
    <x v="30"/>
    <d v="2024-12-22T00:00:00"/>
    <d v="2024-12-03T00:00:00"/>
    <n v="66"/>
    <n v="47"/>
    <n v="-19"/>
    <x v="2"/>
    <x v="1"/>
    <s v="شركة الشحن"/>
    <s v="خارجي"/>
    <x v="0"/>
  </r>
  <r>
    <s v="هشام سامى"/>
    <x v="0"/>
    <s v="التجمع الخامس "/>
    <x v="0"/>
    <x v="6"/>
    <n v="1"/>
    <x v="0"/>
    <s v="فردي"/>
    <s v="بلحه"/>
    <n v="140"/>
    <x v="8"/>
    <x v="53"/>
    <s v="مسبق الدفع"/>
    <x v="31"/>
    <d v="2024-11-17T00:00:00"/>
    <d v="2024-11-14T00:00:00"/>
    <n v="28"/>
    <n v="25"/>
    <n v="-3"/>
    <x v="2"/>
    <x v="1"/>
    <s v="محمود على "/>
    <s v="داخلي"/>
    <x v="0"/>
  </r>
  <r>
    <s v="شيك هومز "/>
    <x v="1"/>
    <s v="٦ اكتوبر"/>
    <x v="1"/>
    <x v="1"/>
    <n v="1"/>
    <x v="0"/>
    <s v="دورين"/>
    <s v="فانتستيك"/>
    <n v="100"/>
    <x v="2"/>
    <x v="54"/>
    <s v="كاش"/>
    <x v="32"/>
    <d v="2024-11-12T00:00:00"/>
    <d v="2024-11-18T00:00:00"/>
    <n v="21"/>
    <n v="27"/>
    <n v="6"/>
    <x v="1"/>
    <x v="0"/>
    <s v="محمود على "/>
    <s v="داخلي"/>
    <x v="0"/>
  </r>
  <r>
    <s v="اوسكار راتن"/>
    <x v="1"/>
    <s v="مدينة نصر "/>
    <x v="0"/>
    <x v="4"/>
    <n v="1"/>
    <x v="0"/>
    <s v="دورين"/>
    <s v="فانتستيك"/>
    <n v="100"/>
    <x v="2"/>
    <x v="55"/>
    <s v="حساب شركه"/>
    <x v="32"/>
    <m/>
    <m/>
    <m/>
    <m/>
    <m/>
    <x v="1"/>
    <x v="0"/>
    <s v="فشل التسليم"/>
    <s v="داخلي"/>
    <x v="1"/>
  </r>
  <r>
    <s v="فاطمه محمد"/>
    <x v="0"/>
    <s v="٦ اكتوبر"/>
    <x v="1"/>
    <x v="0"/>
    <n v="1"/>
    <x v="0"/>
    <s v="فردي"/>
    <s v="فورجينا"/>
    <n v="120"/>
    <x v="0"/>
    <x v="56"/>
    <s v="كاش"/>
    <x v="33"/>
    <d v="2024-11-14T00:00:00"/>
    <d v="2024-11-18T00:00:00"/>
    <n v="24"/>
    <n v="28"/>
    <n v="4"/>
    <x v="1"/>
    <x v="0"/>
    <s v="محمود على "/>
    <s v="داخلي"/>
    <x v="0"/>
  </r>
  <r>
    <s v="شيك هومز "/>
    <x v="1"/>
    <s v="غير محدد"/>
    <x v="3"/>
    <x v="1"/>
    <n v="1"/>
    <x v="2"/>
    <s v="4*1"/>
    <m/>
    <m/>
    <x v="1"/>
    <x v="57"/>
    <s v="مسبق الدفع"/>
    <x v="34"/>
    <d v="2024-11-14T00:00:00"/>
    <d v="2024-10-30T00:00:00"/>
    <n v="21"/>
    <n v="6"/>
    <n v="-15"/>
    <x v="2"/>
    <x v="1"/>
    <s v="محمود على "/>
    <s v="داخلي"/>
    <x v="0"/>
  </r>
  <r>
    <s v="شيك هومز "/>
    <x v="1"/>
    <s v="غير محدد"/>
    <x v="3"/>
    <x v="1"/>
    <n v="1"/>
    <x v="0"/>
    <s v="دورين"/>
    <s v="كينج"/>
    <n v="100"/>
    <x v="1"/>
    <x v="58"/>
    <s v="كاش"/>
    <x v="35"/>
    <d v="2024-11-16T00:00:00"/>
    <m/>
    <n v="21"/>
    <m/>
    <m/>
    <x v="1"/>
    <x v="0"/>
    <s v="فشل التسليم"/>
    <s v="داخلي"/>
    <x v="1"/>
  </r>
  <r>
    <s v="ساره"/>
    <x v="0"/>
    <s v="الشيخ زايد"/>
    <x v="1"/>
    <x v="0"/>
    <n v="1"/>
    <x v="0"/>
    <s v="دورين"/>
    <s v="كينج"/>
    <n v="90"/>
    <x v="1"/>
    <x v="59"/>
    <s v="كاش"/>
    <x v="35"/>
    <d v="2024-11-10T00:00:00"/>
    <d v="2024-11-18T00:00:00"/>
    <n v="15"/>
    <n v="23"/>
    <n v="8"/>
    <x v="1"/>
    <x v="0"/>
    <s v="محمود على "/>
    <s v="داخلي"/>
    <x v="0"/>
  </r>
  <r>
    <s v="ساره"/>
    <x v="0"/>
    <s v="الشيخ زايد"/>
    <x v="1"/>
    <x v="0"/>
    <n v="1"/>
    <x v="0"/>
    <s v="دورين"/>
    <s v="كينج"/>
    <n v="90"/>
    <x v="1"/>
    <x v="59"/>
    <s v="كاش"/>
    <x v="35"/>
    <d v="2024-11-10T00:00:00"/>
    <d v="2024-11-18T00:00:00"/>
    <n v="15"/>
    <n v="23"/>
    <n v="8"/>
    <x v="1"/>
    <x v="0"/>
    <s v="محمود على "/>
    <s v="داخلي"/>
    <x v="0"/>
  </r>
  <r>
    <s v="بولا هومزمارت"/>
    <x v="1"/>
    <s v="المعادى"/>
    <x v="0"/>
    <x v="0"/>
    <n v="1"/>
    <x v="0"/>
    <s v="فردي"/>
    <s v="اسباني"/>
    <n v="100"/>
    <x v="0"/>
    <x v="60"/>
    <s v="كاش"/>
    <x v="36"/>
    <d v="2024-11-11T00:00:00"/>
    <d v="2024-11-21T00:00:00"/>
    <n v="14"/>
    <n v="24"/>
    <n v="10"/>
    <x v="1"/>
    <x v="0"/>
    <s v="محمود على "/>
    <s v="داخلي"/>
    <x v="0"/>
  </r>
  <r>
    <s v="بولا هومزمارت"/>
    <x v="1"/>
    <s v="المعادى"/>
    <x v="0"/>
    <x v="0"/>
    <n v="1"/>
    <x v="0"/>
    <s v="فردي"/>
    <s v="اسباني"/>
    <n v="120"/>
    <x v="0"/>
    <x v="61"/>
    <s v="كاش"/>
    <x v="36"/>
    <d v="2024-11-11T00:00:00"/>
    <d v="2024-11-21T00:00:00"/>
    <n v="14"/>
    <n v="24"/>
    <n v="10"/>
    <x v="1"/>
    <x v="0"/>
    <s v="محمود على "/>
    <s v="داخلي"/>
    <x v="0"/>
  </r>
  <r>
    <s v="محمد شكرى "/>
    <x v="0"/>
    <s v="مدينتى"/>
    <x v="0"/>
    <x v="0"/>
    <n v="1"/>
    <x v="0"/>
    <s v="دورين"/>
    <s v="كيفنج"/>
    <n v="80"/>
    <x v="0"/>
    <x v="62"/>
    <s v="مسبق الدفع"/>
    <x v="37"/>
    <d v="2024-11-26T00:00:00"/>
    <d v="2024-11-27T00:00:00"/>
    <n v="15"/>
    <n v="16"/>
    <n v="1"/>
    <x v="0"/>
    <x v="0"/>
    <s v="محمود على "/>
    <s v="داخلي"/>
    <x v="0"/>
  </r>
  <r>
    <s v="شيك هومز"/>
    <x v="1"/>
    <s v="غير محدد"/>
    <x v="3"/>
    <x v="1"/>
    <n v="1"/>
    <x v="2"/>
    <s v="4*1"/>
    <s v="ارينا"/>
    <m/>
    <x v="1"/>
    <x v="63"/>
    <s v="مسبق الدفع"/>
    <x v="38"/>
    <d v="2024-12-03T00:00:00"/>
    <d v="2024-11-14T00:00:00"/>
    <n v="25"/>
    <n v="6"/>
    <n v="-19"/>
    <x v="2"/>
    <x v="1"/>
    <s v="محمود على "/>
    <s v="داخلي"/>
    <x v="0"/>
  </r>
  <r>
    <s v="منزلى"/>
    <x v="1"/>
    <s v="التجمع الخامس "/>
    <x v="0"/>
    <x v="6"/>
    <n v="1"/>
    <x v="0"/>
    <s v="فردي"/>
    <s v="فورجينا"/>
    <n v="120"/>
    <x v="0"/>
    <x v="64"/>
    <s v="حساب شركه"/>
    <x v="39"/>
    <d v="2024-11-22T00:00:00"/>
    <d v="2024-11-21T00:00:00"/>
    <n v="12"/>
    <n v="11"/>
    <n v="-1"/>
    <x v="2"/>
    <x v="1"/>
    <s v="محمود على "/>
    <s v="داخلي"/>
    <x v="0"/>
  </r>
  <r>
    <s v="اوسكار راتن"/>
    <x v="1"/>
    <s v="أبو رواش"/>
    <x v="1"/>
    <x v="4"/>
    <n v="1"/>
    <x v="0"/>
    <s v="دورين"/>
    <s v="كينج"/>
    <n v="90"/>
    <x v="1"/>
    <x v="65"/>
    <s v="حساب شركه"/>
    <x v="40"/>
    <d v="2024-11-26T00:00:00"/>
    <d v="2024-11-25T00:00:00"/>
    <n v="14"/>
    <n v="13"/>
    <n v="-1"/>
    <x v="2"/>
    <x v="1"/>
    <s v="محمود على "/>
    <s v="داخلي"/>
    <x v="0"/>
  </r>
  <r>
    <s v="حماده"/>
    <x v="0"/>
    <s v="المعادى"/>
    <x v="0"/>
    <x v="0"/>
    <n v="1"/>
    <x v="0"/>
    <s v="فردي"/>
    <s v="فورجينا"/>
    <n v="160"/>
    <x v="6"/>
    <x v="66"/>
    <s v="مسبق الدفع"/>
    <x v="40"/>
    <d v="2024-11-24T00:00:00"/>
    <d v="2024-11-27T00:00:00"/>
    <n v="12"/>
    <n v="15"/>
    <n v="3"/>
    <x v="0"/>
    <x v="0"/>
    <s v="محمود على "/>
    <s v="داخلي"/>
    <x v="0"/>
  </r>
  <r>
    <s v="صفاء عبد الباقي"/>
    <x v="0"/>
    <s v="التجمع الخامس "/>
    <x v="0"/>
    <x v="0"/>
    <n v="1"/>
    <x v="0"/>
    <s v="دورين"/>
    <s v="كينج "/>
    <n v="80"/>
    <x v="0"/>
    <x v="67"/>
    <s v="مسبق الدفع"/>
    <x v="41"/>
    <d v="2024-11-30T00:00:00"/>
    <d v="2024-11-27T00:00:00"/>
    <n v="16"/>
    <n v="13"/>
    <n v="-3"/>
    <x v="2"/>
    <x v="1"/>
    <s v="محمود على "/>
    <s v="داخلي"/>
    <x v="0"/>
  </r>
  <r>
    <s v="اوسكار راتن"/>
    <x v="1"/>
    <s v="أبو رواش"/>
    <x v="1"/>
    <x v="4"/>
    <n v="1"/>
    <x v="0"/>
    <s v="دورين"/>
    <s v="نوفال"/>
    <n v="120"/>
    <x v="3"/>
    <x v="68"/>
    <s v="حساب شركه"/>
    <x v="41"/>
    <d v="2024-11-27T00:00:00"/>
    <d v="2024-11-25T00:00:00"/>
    <n v="13"/>
    <n v="11"/>
    <n v="-2"/>
    <x v="2"/>
    <x v="1"/>
    <s v="محمود على "/>
    <s v="داخلي"/>
    <x v="0"/>
  </r>
  <r>
    <s v="اوسكار راتن"/>
    <x v="1"/>
    <s v="أبو رواش"/>
    <x v="1"/>
    <x v="4"/>
    <n v="1"/>
    <x v="0"/>
    <s v="دورين"/>
    <s v="نوفال"/>
    <n v="90"/>
    <x v="1"/>
    <x v="69"/>
    <s v="حساب شركه"/>
    <x v="41"/>
    <d v="2024-11-27T00:00:00"/>
    <d v="2024-11-25T00:00:00"/>
    <n v="13"/>
    <n v="11"/>
    <n v="-2"/>
    <x v="2"/>
    <x v="1"/>
    <s v="محمود على "/>
    <s v="داخلي"/>
    <x v="0"/>
  </r>
  <r>
    <s v="رندا العامرى "/>
    <x v="0"/>
    <s v="٦ اكتوبر"/>
    <x v="1"/>
    <x v="7"/>
    <n v="1"/>
    <x v="0"/>
    <s v="دورين"/>
    <s v="كيفنج "/>
    <n v="80"/>
    <x v="0"/>
    <x v="70"/>
    <s v="مسبق الدفع"/>
    <x v="42"/>
    <d v="2024-11-28T00:00:00"/>
    <d v="2024-11-26T00:00:00"/>
    <n v="11"/>
    <n v="9"/>
    <n v="-2"/>
    <x v="2"/>
    <x v="1"/>
    <s v="محمود على "/>
    <s v="داخلي"/>
    <x v="0"/>
  </r>
  <r>
    <s v="ساره"/>
    <x v="0"/>
    <s v="٦ اكتوبر"/>
    <x v="1"/>
    <x v="0"/>
    <n v="1"/>
    <x v="0"/>
    <s v="دورين"/>
    <s v="كينج"/>
    <n v="90"/>
    <x v="1"/>
    <x v="71"/>
    <s v="كاش"/>
    <x v="43"/>
    <d v="2024-12-05T00:00:00"/>
    <d v="2024-11-26T00:00:00"/>
    <n v="15"/>
    <n v="6"/>
    <n v="-9"/>
    <x v="2"/>
    <x v="1"/>
    <s v="محمود على "/>
    <s v="داخلي"/>
    <x v="0"/>
  </r>
  <r>
    <s v="تاكى "/>
    <x v="1"/>
    <s v="العباسية"/>
    <x v="0"/>
    <x v="3"/>
    <n v="1"/>
    <x v="0"/>
    <s v="فردي"/>
    <s v="امريكى"/>
    <n v="160"/>
    <x v="1"/>
    <x v="72"/>
    <s v="حساب شركه"/>
    <x v="41"/>
    <d v="2024-12-08T00:00:00"/>
    <m/>
    <n v="24"/>
    <m/>
    <m/>
    <x v="1"/>
    <x v="0"/>
    <s v="غير معروف"/>
    <s v="غير معروف"/>
    <x v="0"/>
  </r>
  <r>
    <s v="محمد حمدى"/>
    <x v="0"/>
    <s v="مصر الجديدة"/>
    <x v="0"/>
    <x v="2"/>
    <n v="1"/>
    <x v="0"/>
    <s v="فردي"/>
    <s v="كوين "/>
    <n v="160"/>
    <x v="5"/>
    <x v="73"/>
    <s v="كاش"/>
    <x v="44"/>
    <d v="2024-12-02T00:00:00"/>
    <d v="2024-11-27T00:00:00"/>
    <n v="10"/>
    <n v="5"/>
    <n v="-5"/>
    <x v="2"/>
    <x v="1"/>
    <s v="محمود على "/>
    <s v="داخلي"/>
    <x v="0"/>
  </r>
  <r>
    <s v="بافلى هانى "/>
    <x v="1"/>
    <s v="شبرا "/>
    <x v="0"/>
    <x v="0"/>
    <n v="1"/>
    <x v="0"/>
    <s v="فردي"/>
    <s v="اسباني"/>
    <n v="120"/>
    <x v="3"/>
    <x v="74"/>
    <s v="كاش"/>
    <x v="45"/>
    <d v="2024-12-05T00:00:00"/>
    <d v="2024-12-10T00:00:00"/>
    <n v="11"/>
    <n v="16"/>
    <n v="5"/>
    <x v="1"/>
    <x v="0"/>
    <s v="محمود على "/>
    <s v="داخلي"/>
    <x v="0"/>
  </r>
  <r>
    <s v="تاكى "/>
    <x v="1"/>
    <s v="العباسية"/>
    <x v="0"/>
    <x v="3"/>
    <n v="1"/>
    <x v="2"/>
    <m/>
    <m/>
    <m/>
    <x v="2"/>
    <x v="10"/>
    <s v="كاش"/>
    <x v="46"/>
    <d v="2024-12-05T00:00:00"/>
    <d v="2024-11-20T00:00:00"/>
    <n v="16"/>
    <n v="1"/>
    <n v="-15"/>
    <x v="2"/>
    <x v="1"/>
    <s v="م محمد "/>
    <s v="داخلي"/>
    <x v="0"/>
  </r>
  <r>
    <s v="رنا ميلاد"/>
    <x v="0"/>
    <s v="جليم"/>
    <x v="7"/>
    <x v="0"/>
    <n v="1"/>
    <x v="1"/>
    <s v="مكتبة"/>
    <m/>
    <m/>
    <x v="2"/>
    <x v="75"/>
    <s v="مسبق الدفع"/>
    <x v="47"/>
    <d v="2024-12-10T00:00:00"/>
    <d v="2024-12-23T00:00:00"/>
    <n v="13"/>
    <n v="26"/>
    <n v="13"/>
    <x v="1"/>
    <x v="0"/>
    <s v="شركة الشحن"/>
    <s v="خارجي"/>
    <x v="0"/>
  </r>
  <r>
    <s v="محمد ناجى"/>
    <x v="0"/>
    <s v="مدينة نصر "/>
    <x v="0"/>
    <x v="0"/>
    <n v="1"/>
    <x v="1"/>
    <s v="دورين"/>
    <m/>
    <m/>
    <x v="0"/>
    <x v="76"/>
    <s v="كاش"/>
    <x v="47"/>
    <d v="2024-12-10T00:00:00"/>
    <d v="2024-12-19T00:00:00"/>
    <n v="13"/>
    <n v="22"/>
    <n v="9"/>
    <x v="1"/>
    <x v="0"/>
    <s v="محمود على "/>
    <s v="داخلي"/>
    <x v="0"/>
  </r>
  <r>
    <s v="احمد عبد الستار"/>
    <x v="0"/>
    <s v="المندرة"/>
    <x v="7"/>
    <x v="0"/>
    <n v="1"/>
    <x v="0"/>
    <s v="دورين"/>
    <s v="كيفنج"/>
    <n v="100"/>
    <x v="1"/>
    <x v="77"/>
    <s v="مسبق الدفع"/>
    <x v="48"/>
    <d v="2024-12-15T00:00:00"/>
    <m/>
    <n v="16"/>
    <m/>
    <m/>
    <x v="1"/>
    <x v="0"/>
    <s v="فشل التسليم "/>
    <s v="داخلي"/>
    <x v="1"/>
  </r>
  <r>
    <s v="نور "/>
    <x v="0"/>
    <s v="القاهرة الجديدة"/>
    <x v="0"/>
    <x v="0"/>
    <n v="1"/>
    <x v="1"/>
    <s v="دوران "/>
    <m/>
    <m/>
    <x v="1"/>
    <x v="76"/>
    <s v="مسبق الدفع"/>
    <x v="49"/>
    <d v="2024-12-12T00:00:00"/>
    <m/>
    <n v="12"/>
    <m/>
    <m/>
    <x v="1"/>
    <x v="0"/>
    <s v="فشل التسليم"/>
    <s v="داخلي"/>
    <x v="1"/>
  </r>
  <r>
    <s v="نور"/>
    <x v="0"/>
    <s v="القاهرة الجديدة"/>
    <x v="0"/>
    <x v="0"/>
    <n v="1"/>
    <x v="1"/>
    <s v="قهوة"/>
    <m/>
    <m/>
    <x v="1"/>
    <x v="78"/>
    <s v="مسبق الدفع"/>
    <x v="49"/>
    <d v="2024-12-12T00:00:00"/>
    <m/>
    <n v="12"/>
    <m/>
    <m/>
    <x v="1"/>
    <x v="0"/>
    <s v="فشل التسليم"/>
    <s v="داخلي"/>
    <x v="1"/>
  </r>
  <r>
    <s v="تامر"/>
    <x v="0"/>
    <s v="العين السخنة"/>
    <x v="4"/>
    <x v="0"/>
    <n v="1"/>
    <x v="1"/>
    <s v="دورين"/>
    <m/>
    <m/>
    <x v="1"/>
    <x v="78"/>
    <s v="مسبق الدفع"/>
    <x v="49"/>
    <d v="2024-12-12T00:00:00"/>
    <m/>
    <n v="12"/>
    <m/>
    <m/>
    <x v="1"/>
    <x v="0"/>
    <s v="غير معروف"/>
    <s v="غير معروف"/>
    <x v="0"/>
  </r>
  <r>
    <s v="هناء اسامه"/>
    <x v="0"/>
    <s v="القطامية"/>
    <x v="0"/>
    <x v="0"/>
    <n v="1"/>
    <x v="0"/>
    <s v="دورين "/>
    <s v="نوفال"/>
    <n v="80"/>
    <x v="0"/>
    <x v="62"/>
    <s v="مسبق الدفع"/>
    <x v="50"/>
    <d v="2024-12-17T00:00:00"/>
    <m/>
    <n v="15"/>
    <m/>
    <m/>
    <x v="1"/>
    <x v="0"/>
    <s v="فشل التسليم"/>
    <s v="داخلي"/>
    <x v="1"/>
  </r>
  <r>
    <s v="اوسكار راتن"/>
    <x v="1"/>
    <s v="أبو رواش"/>
    <x v="1"/>
    <x v="4"/>
    <n v="1"/>
    <x v="0"/>
    <s v="دورين"/>
    <s v="كيفنج "/>
    <n v="90"/>
    <x v="4"/>
    <x v="79"/>
    <s v="حساب شركه"/>
    <x v="51"/>
    <d v="2024-12-14T00:00:00"/>
    <d v="2024-12-10T00:00:00"/>
    <n v="13"/>
    <n v="9"/>
    <n v="-4"/>
    <x v="2"/>
    <x v="1"/>
    <s v="محمود على "/>
    <s v="داخلي"/>
    <x v="0"/>
  </r>
  <r>
    <s v="محمد عادل "/>
    <x v="0"/>
    <s v="العبور"/>
    <x v="6"/>
    <x v="0"/>
    <n v="1"/>
    <x v="0"/>
    <s v="منطبق"/>
    <m/>
    <m/>
    <x v="1"/>
    <x v="76"/>
    <s v="كاش"/>
    <x v="52"/>
    <d v="2024-12-14T00:00:00"/>
    <d v="2024-12-19T00:00:00"/>
    <n v="10"/>
    <n v="15"/>
    <n v="5"/>
    <x v="1"/>
    <x v="0"/>
    <s v="محمود على "/>
    <s v="داخلي"/>
    <x v="0"/>
  </r>
  <r>
    <s v="مريم عنان"/>
    <x v="0"/>
    <s v="القاهرة الجديدة"/>
    <x v="0"/>
    <x v="1"/>
    <n v="1"/>
    <x v="0"/>
    <s v="دورين"/>
    <s v="كينج"/>
    <m/>
    <x v="1"/>
    <x v="80"/>
    <s v="كاش"/>
    <x v="53"/>
    <d v="2024-12-31T00:00:00"/>
    <d v="2024-12-12T00:00:00"/>
    <n v="22"/>
    <n v="3"/>
    <n v="-19"/>
    <x v="2"/>
    <x v="1"/>
    <s v="محمود على "/>
    <s v="داخلي"/>
    <x v="0"/>
  </r>
  <r>
    <s v="هبه عطيه "/>
    <x v="0"/>
    <s v="القاهرة الجديدة"/>
    <x v="0"/>
    <x v="0"/>
    <n v="1"/>
    <x v="1"/>
    <s v="دورين"/>
    <m/>
    <m/>
    <x v="1"/>
    <x v="81"/>
    <s v="كاش"/>
    <x v="54"/>
    <d v="2024-12-24T00:00:00"/>
    <d v="2024-12-19T00:00:00"/>
    <n v="12"/>
    <n v="7"/>
    <n v="-5"/>
    <x v="2"/>
    <x v="1"/>
    <s v="محمود على "/>
    <s v="داخلي"/>
    <x v="0"/>
  </r>
  <r>
    <s v="حمدى ذكرى"/>
    <x v="0"/>
    <s v="٦ اكتوبر"/>
    <x v="1"/>
    <x v="0"/>
    <n v="1"/>
    <x v="0"/>
    <s v="دورين"/>
    <s v="نوفال"/>
    <n v="80"/>
    <x v="1"/>
    <x v="82"/>
    <s v="كاش"/>
    <x v="54"/>
    <d v="2024-12-28T00:00:00"/>
    <d v="2024-12-29T00:00:00"/>
    <n v="16"/>
    <n v="17"/>
    <n v="1"/>
    <x v="0"/>
    <x v="0"/>
    <s v="محمود على "/>
    <s v="داخلي"/>
    <x v="0"/>
  </r>
  <r>
    <s v="شيك هومز"/>
    <x v="1"/>
    <s v="غير محدد"/>
    <x v="3"/>
    <x v="1"/>
    <n v="1"/>
    <x v="2"/>
    <s v="4*1"/>
    <s v="ارينا"/>
    <m/>
    <x v="1"/>
    <x v="83"/>
    <s v="حساب شركه"/>
    <x v="55"/>
    <d v="2025-01-05T00:00:00"/>
    <d v="2024-12-29T00:00:00"/>
    <n v="22"/>
    <n v="15"/>
    <n v="-7"/>
    <x v="2"/>
    <x v="1"/>
    <s v="محمود على "/>
    <s v="داخلي"/>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8EABE3-AED4-4287-90E8-30A3F6E7631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H7:AI11"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v="2"/>
    </i>
    <i>
      <x v="1"/>
    </i>
    <i>
      <x/>
    </i>
    <i t="grand">
      <x/>
    </i>
  </rowItems>
  <colItems count="1">
    <i/>
  </colItems>
  <dataFields count="1">
    <dataField name="Status" fld="20" subtotal="count" showDataAs="percentOfTotal" baseField="20" baseItem="2" numFmtId="9"/>
  </dataFields>
  <formats count="13">
    <format dxfId="3030">
      <pivotArea outline="0" collapsedLevelsAreSubtotals="1" fieldPosition="0"/>
    </format>
    <format dxfId="3029">
      <pivotArea type="all" dataOnly="0" outline="0" fieldPosition="0"/>
    </format>
    <format dxfId="3028">
      <pivotArea outline="0" collapsedLevelsAreSubtotals="1" fieldPosition="0"/>
    </format>
    <format dxfId="3027">
      <pivotArea field="20" type="button" dataOnly="0" labelOnly="1" outline="0" axis="axisRow" fieldPosition="0"/>
    </format>
    <format dxfId="3026">
      <pivotArea dataOnly="0" labelOnly="1" fieldPosition="0">
        <references count="1">
          <reference field="20" count="0"/>
        </references>
      </pivotArea>
    </format>
    <format dxfId="3025">
      <pivotArea dataOnly="0" labelOnly="1" grandRow="1" outline="0" fieldPosition="0"/>
    </format>
    <format dxfId="3024">
      <pivotArea dataOnly="0" labelOnly="1" outline="0" axis="axisValues" fieldPosition="0"/>
    </format>
    <format dxfId="2975">
      <pivotArea type="all" dataOnly="0" outline="0" fieldPosition="0"/>
    </format>
    <format dxfId="2974">
      <pivotArea outline="0" collapsedLevelsAreSubtotals="1" fieldPosition="0"/>
    </format>
    <format dxfId="2973">
      <pivotArea field="20" type="button" dataOnly="0" labelOnly="1" outline="0" axis="axisRow" fieldPosition="0"/>
    </format>
    <format dxfId="2972">
      <pivotArea dataOnly="0" labelOnly="1" fieldPosition="0">
        <references count="1">
          <reference field="20" count="0"/>
        </references>
      </pivotArea>
    </format>
    <format dxfId="2971">
      <pivotArea dataOnly="0" labelOnly="1" grandRow="1" outline="0" fieldPosition="0"/>
    </format>
    <format dxfId="2970">
      <pivotArea dataOnly="0" labelOnly="1" outline="0" axis="axisValues" fieldPosition="0"/>
    </format>
  </formats>
  <chartFormats count="4">
    <chartFormat chart="9" format="31" series="1">
      <pivotArea type="data" outline="0" fieldPosition="0">
        <references count="1">
          <reference field="4294967294" count="1" selected="0">
            <x v="0"/>
          </reference>
        </references>
      </pivotArea>
    </chartFormat>
    <chartFormat chart="9" format="32">
      <pivotArea type="data" outline="0" fieldPosition="0">
        <references count="2">
          <reference field="4294967294" count="1" selected="0">
            <x v="0"/>
          </reference>
          <reference field="20" count="1" selected="0">
            <x v="2"/>
          </reference>
        </references>
      </pivotArea>
    </chartFormat>
    <chartFormat chart="9" format="33">
      <pivotArea type="data" outline="0" fieldPosition="0">
        <references count="2">
          <reference field="4294967294" count="1" selected="0">
            <x v="0"/>
          </reference>
          <reference field="20" count="1" selected="0">
            <x v="1"/>
          </reference>
        </references>
      </pivotArea>
    </chartFormat>
    <chartFormat chart="9" format="34">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81332-4181-4815-820C-C717B07E62F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26">
    <pivotField dataField="1"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0"/>
  </dataFields>
  <formats count="6">
    <format dxfId="3033">
      <pivotArea type="all" dataOnly="0" outline="0" fieldPosition="0"/>
    </format>
    <format dxfId="3032">
      <pivotArea outline="0" collapsedLevelsAreSubtotals="1" fieldPosition="0"/>
    </format>
    <format dxfId="3031">
      <pivotArea dataOnly="0" labelOnly="1" outline="0" axis="axisValues" fieldPosition="0"/>
    </format>
    <format dxfId="3020">
      <pivotArea type="all" dataOnly="0" outline="0" fieldPosition="0"/>
    </format>
    <format dxfId="3019">
      <pivotArea outline="0" collapsedLevelsAreSubtotals="1" fieldPosition="0"/>
    </format>
    <format dxfId="30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07BC2A-0689-4C92-976F-87B08C9B2B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S7:AT17" firstHeaderRow="1" firstDataRow="1" firstDataCol="1"/>
  <pivotFields count="26">
    <pivotField showAll="0"/>
    <pivotField showAll="0"/>
    <pivotField showAll="0"/>
    <pivotField axis="axisRow" showAll="0" sortType="descending">
      <items count="10">
        <item x="8"/>
        <item x="7"/>
        <item x="1"/>
        <item x="5"/>
        <item x="4"/>
        <item x="2"/>
        <item x="0"/>
        <item x="6"/>
        <item x="3"/>
        <item t="default"/>
      </items>
      <autoSortScope>
        <pivotArea dataOnly="0" outline="0" fieldPosition="0">
          <references count="1">
            <reference field="4294967294" count="1" selected="0">
              <x v="0"/>
            </reference>
          </references>
        </pivotArea>
      </autoSortScope>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dataField="1"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0">
    <i>
      <x v="6"/>
    </i>
    <i>
      <x v="2"/>
    </i>
    <i>
      <x v="8"/>
    </i>
    <i>
      <x v="4"/>
    </i>
    <i>
      <x v="1"/>
    </i>
    <i>
      <x v="5"/>
    </i>
    <i>
      <x v="7"/>
    </i>
    <i>
      <x v="3"/>
    </i>
    <i>
      <x/>
    </i>
    <i t="grand">
      <x/>
    </i>
  </rowItems>
  <colItems count="1">
    <i/>
  </colItems>
  <dataFields count="1">
    <dataField name="Price" fld="11" baseField="3" baseItem="0" numFmtId="165"/>
  </dataFields>
  <formats count="7">
    <format dxfId="3040">
      <pivotArea outline="0" collapsedLevelsAreSubtotals="1" fieldPosition="0"/>
    </format>
    <format dxfId="3039">
      <pivotArea type="all" dataOnly="0" outline="0" fieldPosition="0"/>
    </format>
    <format dxfId="3038">
      <pivotArea outline="0" collapsedLevelsAreSubtotals="1" fieldPosition="0"/>
    </format>
    <format dxfId="3037">
      <pivotArea field="3" type="button" dataOnly="0" labelOnly="1" outline="0" axis="axisRow" fieldPosition="0"/>
    </format>
    <format dxfId="3036">
      <pivotArea dataOnly="0" labelOnly="1" fieldPosition="0">
        <references count="1">
          <reference field="3" count="0"/>
        </references>
      </pivotArea>
    </format>
    <format dxfId="3035">
      <pivotArea dataOnly="0" labelOnly="1" grandRow="1" outline="0" fieldPosition="0"/>
    </format>
    <format dxfId="3034">
      <pivotArea dataOnly="0" labelOnly="1" outline="0" axis="axisValues" fieldPosition="0"/>
    </format>
  </format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F590FB-1587-4A3A-B1B3-53F80BC144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0:C47"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dataField="1" showAll="0"/>
    <pivotField showAll="0">
      <items count="7">
        <item x="1"/>
        <item x="3"/>
        <item x="0"/>
        <item x="5"/>
        <item x="4"/>
        <item x="2"/>
        <item t="default"/>
      </items>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25"/>
  </rowFields>
  <rowItems count="7">
    <i>
      <x v="7"/>
    </i>
    <i>
      <x v="8"/>
    </i>
    <i>
      <x v="9"/>
    </i>
    <i>
      <x v="10"/>
    </i>
    <i>
      <x v="11"/>
    </i>
    <i>
      <x v="12"/>
    </i>
    <i t="grand">
      <x/>
    </i>
  </rowItems>
  <colItems count="1">
    <i/>
  </colItems>
  <dataFields count="1">
    <dataField name="Quantity" fld="5" baseField="25" baseItem="7"/>
  </dataFields>
  <formats count="12">
    <format dxfId="3046">
      <pivotArea type="all" dataOnly="0" outline="0" fieldPosition="0"/>
    </format>
    <format dxfId="3045">
      <pivotArea outline="0" collapsedLevelsAreSubtotals="1" fieldPosition="0"/>
    </format>
    <format dxfId="3044">
      <pivotArea field="25" type="button" dataOnly="0" labelOnly="1" outline="0" axis="axisRow" fieldPosition="0"/>
    </format>
    <format dxfId="3043">
      <pivotArea dataOnly="0" labelOnly="1" fieldPosition="0">
        <references count="1">
          <reference field="25" count="6">
            <x v="7"/>
            <x v="8"/>
            <x v="9"/>
            <x v="10"/>
            <x v="11"/>
            <x v="12"/>
          </reference>
        </references>
      </pivotArea>
    </format>
    <format dxfId="3042">
      <pivotArea dataOnly="0" labelOnly="1" grandRow="1" outline="0" fieldPosition="0"/>
    </format>
    <format dxfId="3041">
      <pivotArea dataOnly="0" labelOnly="1" outline="0" axis="axisValues" fieldPosition="0"/>
    </format>
    <format dxfId="3011">
      <pivotArea type="all" dataOnly="0" outline="0" fieldPosition="0"/>
    </format>
    <format dxfId="3010">
      <pivotArea outline="0" collapsedLevelsAreSubtotals="1" fieldPosition="0"/>
    </format>
    <format dxfId="3009">
      <pivotArea field="25" type="button" dataOnly="0" labelOnly="1" outline="0" axis="axisRow" fieldPosition="0"/>
    </format>
    <format dxfId="3008">
      <pivotArea dataOnly="0" labelOnly="1" fieldPosition="0">
        <references count="1">
          <reference field="25" count="6">
            <x v="7"/>
            <x v="8"/>
            <x v="9"/>
            <x v="10"/>
            <x v="11"/>
            <x v="12"/>
          </reference>
        </references>
      </pivotArea>
    </format>
    <format dxfId="3007">
      <pivotArea dataOnly="0" labelOnly="1" grandRow="1" outline="0" fieldPosition="0"/>
    </format>
    <format dxfId="3006">
      <pivotArea dataOnly="0" labelOnly="1" outline="0" axis="axisValues" fieldPosition="0"/>
    </format>
  </formats>
  <chartFormats count="2">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C24ABD-5F3A-4603-98CB-8F7571F07CF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H16:AI20"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items count="4">
        <item x="2"/>
        <item x="1"/>
        <item x="0"/>
        <item t="default"/>
      </items>
    </pivotField>
    <pivotField showAll="0"/>
    <pivotField showAll="0"/>
    <pivotField axis="axisRow" dataField="1"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3"/>
  </rowFields>
  <rowItems count="4">
    <i>
      <x/>
    </i>
    <i>
      <x v="1"/>
    </i>
    <i>
      <x v="2"/>
    </i>
    <i t="grand">
      <x/>
    </i>
  </rowItems>
  <colItems count="1">
    <i/>
  </colItems>
  <dataFields count="1">
    <dataField name="Status" fld="23" subtotal="count" showDataAs="percentOfTotal" baseField="23" baseItem="0" numFmtId="9"/>
  </dataFields>
  <formats count="13">
    <format dxfId="3053">
      <pivotArea outline="0" collapsedLevelsAreSubtotals="1" fieldPosition="0"/>
    </format>
    <format dxfId="3052">
      <pivotArea type="all" dataOnly="0" outline="0" fieldPosition="0"/>
    </format>
    <format dxfId="3051">
      <pivotArea outline="0" collapsedLevelsAreSubtotals="1" fieldPosition="0"/>
    </format>
    <format dxfId="3050">
      <pivotArea field="23" type="button" dataOnly="0" labelOnly="1" outline="0" axis="axisRow" fieldPosition="0"/>
    </format>
    <format dxfId="3049">
      <pivotArea dataOnly="0" labelOnly="1" fieldPosition="0">
        <references count="1">
          <reference field="23" count="0"/>
        </references>
      </pivotArea>
    </format>
    <format dxfId="3048">
      <pivotArea dataOnly="0" labelOnly="1" grandRow="1" outline="0" fieldPosition="0"/>
    </format>
    <format dxfId="3047">
      <pivotArea dataOnly="0" labelOnly="1" outline="0" axis="axisValues" fieldPosition="0"/>
    </format>
    <format dxfId="2969">
      <pivotArea type="all" dataOnly="0" outline="0" fieldPosition="0"/>
    </format>
    <format dxfId="2968">
      <pivotArea outline="0" collapsedLevelsAreSubtotals="1" fieldPosition="0"/>
    </format>
    <format dxfId="2967">
      <pivotArea field="23" type="button" dataOnly="0" labelOnly="1" outline="0" axis="axisRow" fieldPosition="0"/>
    </format>
    <format dxfId="2966">
      <pivotArea dataOnly="0" labelOnly="1" fieldPosition="0">
        <references count="1">
          <reference field="23" count="0"/>
        </references>
      </pivotArea>
    </format>
    <format dxfId="2965">
      <pivotArea dataOnly="0" labelOnly="1" grandRow="1" outline="0" fieldPosition="0"/>
    </format>
    <format dxfId="2964">
      <pivotArea dataOnly="0" labelOnly="1" outline="0" axis="axisValues" fieldPosition="0"/>
    </format>
  </formats>
  <chartFormats count="4">
    <chartFormat chart="10" format="29" series="1">
      <pivotArea type="data" outline="0" fieldPosition="0">
        <references count="1">
          <reference field="4294967294" count="1" selected="0">
            <x v="0"/>
          </reference>
        </references>
      </pivotArea>
    </chartFormat>
    <chartFormat chart="10" format="30">
      <pivotArea type="data" outline="0" fieldPosition="0">
        <references count="2">
          <reference field="4294967294" count="1" selected="0">
            <x v="0"/>
          </reference>
          <reference field="23" count="1" selected="0">
            <x v="0"/>
          </reference>
        </references>
      </pivotArea>
    </chartFormat>
    <chartFormat chart="10" format="31">
      <pivotArea type="data" outline="0" fieldPosition="0">
        <references count="2">
          <reference field="4294967294" count="1" selected="0">
            <x v="0"/>
          </reference>
          <reference field="23" count="1" selected="0">
            <x v="1"/>
          </reference>
        </references>
      </pivotArea>
    </chartFormat>
    <chartFormat chart="10" format="32">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F99471-BC93-4B30-90B4-0F139436D7D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B22" firstHeaderRow="1" firstDataRow="1" firstDataCol="0"/>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dataField="1"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g Price" fld="11" subtotal="average" baseField="0" baseItem="0"/>
  </dataFields>
  <formats count="6">
    <format dxfId="3059">
      <pivotArea type="all" dataOnly="0" outline="0" fieldPosition="0"/>
    </format>
    <format dxfId="3058">
      <pivotArea outline="0" collapsedLevelsAreSubtotals="1" fieldPosition="0"/>
    </format>
    <format dxfId="3057">
      <pivotArea dataOnly="0" labelOnly="1" outline="0" axis="axisValues" fieldPosition="0"/>
    </format>
    <format dxfId="3056">
      <pivotArea type="all" dataOnly="0" outline="0" fieldPosition="0"/>
    </format>
    <format dxfId="3055">
      <pivotArea outline="0" collapsedLevelsAreSubtotals="1" fieldPosition="0"/>
    </format>
    <format dxfId="30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F93BDD-5A76-42BA-A240-0AE2FC4C42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8:C35"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dataField="1"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25"/>
  </rowFields>
  <rowItems count="7">
    <i>
      <x v="7"/>
    </i>
    <i>
      <x v="8"/>
    </i>
    <i>
      <x v="9"/>
    </i>
    <i>
      <x v="10"/>
    </i>
    <i>
      <x v="11"/>
    </i>
    <i>
      <x v="12"/>
    </i>
    <i t="grand">
      <x/>
    </i>
  </rowItems>
  <colItems count="1">
    <i/>
  </colItems>
  <dataFields count="1">
    <dataField name="Price" fld="11" baseField="25" baseItem="7" numFmtId="165"/>
  </dataFields>
  <formats count="13">
    <format dxfId="3066">
      <pivotArea outline="0" collapsedLevelsAreSubtotals="1" fieldPosition="0"/>
    </format>
    <format dxfId="3065">
      <pivotArea type="all" dataOnly="0" outline="0" fieldPosition="0"/>
    </format>
    <format dxfId="3064">
      <pivotArea outline="0" collapsedLevelsAreSubtotals="1" fieldPosition="0"/>
    </format>
    <format dxfId="3063">
      <pivotArea field="25" type="button" dataOnly="0" labelOnly="1" outline="0" axis="axisRow" fieldPosition="0"/>
    </format>
    <format dxfId="3062">
      <pivotArea dataOnly="0" labelOnly="1" fieldPosition="0">
        <references count="1">
          <reference field="25" count="6">
            <x v="7"/>
            <x v="8"/>
            <x v="9"/>
            <x v="10"/>
            <x v="11"/>
            <x v="12"/>
          </reference>
        </references>
      </pivotArea>
    </format>
    <format dxfId="3061">
      <pivotArea dataOnly="0" labelOnly="1" grandRow="1" outline="0" fieldPosition="0"/>
    </format>
    <format dxfId="3060">
      <pivotArea dataOnly="0" labelOnly="1" outline="0" axis="axisValues" fieldPosition="0"/>
    </format>
    <format dxfId="3017">
      <pivotArea type="all" dataOnly="0" outline="0" fieldPosition="0"/>
    </format>
    <format dxfId="3016">
      <pivotArea outline="0" collapsedLevelsAreSubtotals="1" fieldPosition="0"/>
    </format>
    <format dxfId="3015">
      <pivotArea field="25" type="button" dataOnly="0" labelOnly="1" outline="0" axis="axisRow" fieldPosition="0"/>
    </format>
    <format dxfId="3014">
      <pivotArea dataOnly="0" labelOnly="1" fieldPosition="0">
        <references count="1">
          <reference field="25" count="6">
            <x v="7"/>
            <x v="8"/>
            <x v="9"/>
            <x v="10"/>
            <x v="11"/>
            <x v="12"/>
          </reference>
        </references>
      </pivotArea>
    </format>
    <format dxfId="3013">
      <pivotArea dataOnly="0" labelOnly="1" grandRow="1" outline="0" fieldPosition="0"/>
    </format>
    <format dxfId="3012">
      <pivotArea dataOnly="0" labelOnly="1" outline="0" axis="axisValues" fieldPosition="0"/>
    </format>
  </formats>
  <chartFormats count="4">
    <chartFormat chart="27" format="20" series="1">
      <pivotArea type="data" outline="0" fieldPosition="0">
        <references count="1">
          <reference field="4294967294" count="1" selected="0">
            <x v="0"/>
          </reference>
        </references>
      </pivotArea>
    </chartFormat>
    <chartFormat chart="27" format="21">
      <pivotArea type="data" outline="0" fieldPosition="0">
        <references count="2">
          <reference field="4294967294" count="1" selected="0">
            <x v="0"/>
          </reference>
          <reference field="25" count="1" selected="0">
            <x v="9"/>
          </reference>
        </references>
      </pivotArea>
    </chartFormat>
    <chartFormat chart="27" format="22">
      <pivotArea type="data" outline="0" fieldPosition="0">
        <references count="2">
          <reference field="4294967294" count="1" selected="0">
            <x v="0"/>
          </reference>
          <reference field="25" count="1" selected="0">
            <x v="10"/>
          </reference>
        </references>
      </pivotArea>
    </chartFormat>
    <chartFormat chart="27" format="23">
      <pivotArea type="data" outline="0" fieldPosition="0">
        <references count="2">
          <reference field="4294967294" count="1" selected="0">
            <x v="0"/>
          </reference>
          <reference field="2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10254E-D75D-4218-B492-D584B5A34ED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2:M29"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axis="axisRow" showAll="0" sortType="de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v="2"/>
    </i>
    <i>
      <x v="5"/>
    </i>
    <i>
      <x/>
    </i>
    <i>
      <x v="1"/>
    </i>
    <i>
      <x v="4"/>
    </i>
    <i>
      <x v="3"/>
    </i>
    <i t="grand">
      <x/>
    </i>
  </rowItems>
  <colItems count="1">
    <i/>
  </colItems>
  <dataFields count="1">
    <dataField name="Price" fld="11" baseField="6" baseItem="0" numFmtId="165"/>
  </dataFields>
  <formats count="13">
    <format dxfId="3073">
      <pivotArea outline="0" collapsedLevelsAreSubtotals="1" fieldPosition="0"/>
    </format>
    <format dxfId="3072">
      <pivotArea type="all" dataOnly="0" outline="0" fieldPosition="0"/>
    </format>
    <format dxfId="3071">
      <pivotArea outline="0" collapsedLevelsAreSubtotals="1" fieldPosition="0"/>
    </format>
    <format dxfId="3070">
      <pivotArea field="6" type="button" dataOnly="0" labelOnly="1" outline="0" axis="axisRow" fieldPosition="0"/>
    </format>
    <format dxfId="3069">
      <pivotArea dataOnly="0" labelOnly="1" fieldPosition="0">
        <references count="1">
          <reference field="6" count="0"/>
        </references>
      </pivotArea>
    </format>
    <format dxfId="3068">
      <pivotArea dataOnly="0" labelOnly="1" grandRow="1" outline="0" fieldPosition="0"/>
    </format>
    <format dxfId="3067">
      <pivotArea dataOnly="0" labelOnly="1" outline="0" axis="axisValues" fieldPosition="0"/>
    </format>
    <format dxfId="2999">
      <pivotArea type="all" dataOnly="0" outline="0" fieldPosition="0"/>
    </format>
    <format dxfId="2998">
      <pivotArea outline="0" collapsedLevelsAreSubtotals="1" fieldPosition="0"/>
    </format>
    <format dxfId="2997">
      <pivotArea field="6" type="button" dataOnly="0" labelOnly="1" outline="0" axis="axisRow" fieldPosition="0"/>
    </format>
    <format dxfId="2996">
      <pivotArea dataOnly="0" labelOnly="1" fieldPosition="0">
        <references count="1">
          <reference field="6" count="0"/>
        </references>
      </pivotArea>
    </format>
    <format dxfId="2995">
      <pivotArea dataOnly="0" labelOnly="1" grandRow="1" outline="0" fieldPosition="0"/>
    </format>
    <format dxfId="2994">
      <pivotArea dataOnly="0" labelOnly="1" outline="0" axis="axisValues" fieldPosition="0"/>
    </format>
  </formats>
  <chartFormats count="3">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13A77D-F0F7-4E54-9F51-F8CFDFFB738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7:M17"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axis="axisRow" showAll="0" sortType="descending">
      <items count="11">
        <item x="0"/>
        <item x="4"/>
        <item x="1"/>
        <item x="7"/>
        <item x="6"/>
        <item x="5"/>
        <item x="3"/>
        <item x="8"/>
        <item x="9"/>
        <item h="1" x="2"/>
        <item t="default"/>
      </items>
      <autoSortScope>
        <pivotArea dataOnly="0" outline="0" fieldPosition="0">
          <references count="1">
            <reference field="4294967294" count="1" selected="0">
              <x v="0"/>
            </reference>
          </references>
        </pivotArea>
      </autoSortScope>
    </pivotField>
    <pivotField dataField="1" showAll="0">
      <items count="85">
        <item x="21"/>
        <item x="64"/>
        <item x="47"/>
        <item x="60"/>
        <item x="61"/>
        <item x="40"/>
        <item x="72"/>
        <item x="53"/>
        <item x="79"/>
        <item x="69"/>
        <item x="49"/>
        <item x="65"/>
        <item x="73"/>
        <item x="38"/>
        <item x="10"/>
        <item x="41"/>
        <item x="68"/>
        <item x="24"/>
        <item x="27"/>
        <item x="70"/>
        <item x="46"/>
        <item x="4"/>
        <item x="13"/>
        <item x="25"/>
        <item x="16"/>
        <item x="23"/>
        <item x="43"/>
        <item x="75"/>
        <item x="55"/>
        <item x="3"/>
        <item x="83"/>
        <item x="18"/>
        <item x="42"/>
        <item x="50"/>
        <item x="56"/>
        <item x="78"/>
        <item x="15"/>
        <item x="17"/>
        <item x="33"/>
        <item x="11"/>
        <item x="28"/>
        <item x="45"/>
        <item x="14"/>
        <item x="48"/>
        <item x="58"/>
        <item x="35"/>
        <item x="76"/>
        <item x="37"/>
        <item x="80"/>
        <item x="22"/>
        <item x="74"/>
        <item x="26"/>
        <item x="31"/>
        <item x="19"/>
        <item x="81"/>
        <item x="66"/>
        <item x="12"/>
        <item x="59"/>
        <item x="2"/>
        <item x="30"/>
        <item x="6"/>
        <item x="62"/>
        <item x="39"/>
        <item x="54"/>
        <item x="20"/>
        <item x="52"/>
        <item x="67"/>
        <item x="29"/>
        <item x="51"/>
        <item x="7"/>
        <item x="82"/>
        <item x="71"/>
        <item x="32"/>
        <item x="5"/>
        <item x="77"/>
        <item x="44"/>
        <item x="57"/>
        <item x="63"/>
        <item x="9"/>
        <item x="0"/>
        <item x="1"/>
        <item x="36"/>
        <item x="34"/>
        <item x="8"/>
        <item t="default"/>
      </items>
    </pivotField>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10"/>
  </rowFields>
  <rowItems count="10">
    <i>
      <x v="2"/>
    </i>
    <i>
      <x/>
    </i>
    <i>
      <x v="6"/>
    </i>
    <i>
      <x v="8"/>
    </i>
    <i>
      <x v="4"/>
    </i>
    <i>
      <x v="7"/>
    </i>
    <i>
      <x v="1"/>
    </i>
    <i>
      <x v="5"/>
    </i>
    <i>
      <x v="3"/>
    </i>
    <i t="grand">
      <x/>
    </i>
  </rowItems>
  <colItems count="1">
    <i/>
  </colItems>
  <dataFields count="1">
    <dataField name="Price" fld="11" baseField="25" baseItem="7" numFmtId="165"/>
  </dataFields>
  <formats count="13">
    <format dxfId="3080">
      <pivotArea outline="0" collapsedLevelsAreSubtotals="1" fieldPosition="0"/>
    </format>
    <format dxfId="3079">
      <pivotArea type="all" dataOnly="0" outline="0" fieldPosition="0"/>
    </format>
    <format dxfId="3078">
      <pivotArea outline="0" collapsedLevelsAreSubtotals="1" fieldPosition="0"/>
    </format>
    <format dxfId="3077">
      <pivotArea field="10" type="button" dataOnly="0" labelOnly="1" outline="0" axis="axisRow" fieldPosition="0"/>
    </format>
    <format dxfId="3076">
      <pivotArea dataOnly="0" labelOnly="1" fieldPosition="0">
        <references count="1">
          <reference field="10" count="0"/>
        </references>
      </pivotArea>
    </format>
    <format dxfId="3075">
      <pivotArea dataOnly="0" labelOnly="1" grandRow="1" outline="0" fieldPosition="0"/>
    </format>
    <format dxfId="3074">
      <pivotArea dataOnly="0" labelOnly="1" outline="0" axis="axisValues" fieldPosition="0"/>
    </format>
    <format dxfId="3005">
      <pivotArea type="all" dataOnly="0" outline="0" fieldPosition="0"/>
    </format>
    <format dxfId="3004">
      <pivotArea outline="0" collapsedLevelsAreSubtotals="1" fieldPosition="0"/>
    </format>
    <format dxfId="3003">
      <pivotArea field="10" type="button" dataOnly="0" labelOnly="1" outline="0" axis="axisRow" fieldPosition="0"/>
    </format>
    <format dxfId="3002">
      <pivotArea dataOnly="0" labelOnly="1" fieldPosition="0">
        <references count="1">
          <reference field="10" count="0"/>
        </references>
      </pivotArea>
    </format>
    <format dxfId="3001">
      <pivotArea dataOnly="0" labelOnly="1" grandRow="1" outline="0" fieldPosition="0"/>
    </format>
    <format dxfId="3000">
      <pivotArea dataOnly="0" labelOnly="1" outline="0" axis="axisValues" fieldPosition="0"/>
    </format>
  </formats>
  <chartFormats count="17">
    <chartFormat chart="1" format="7"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CC4DCA-052F-471E-8F29-976EC94D60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dataField="1"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11" baseField="0" baseItem="0"/>
  </dataFields>
  <formats count="6">
    <format dxfId="3083">
      <pivotArea type="all" dataOnly="0" outline="0" fieldPosition="0"/>
    </format>
    <format dxfId="3082">
      <pivotArea outline="0" collapsedLevelsAreSubtotals="1" fieldPosition="0"/>
    </format>
    <format dxfId="3081">
      <pivotArea dataOnly="0" labelOnly="1" outline="0" axis="axisValues" fieldPosition="0"/>
    </format>
    <format dxfId="3023">
      <pivotArea type="all" dataOnly="0" outline="0" fieldPosition="0"/>
    </format>
    <format dxfId="3022">
      <pivotArea outline="0" collapsedLevelsAreSubtotals="1" fieldPosition="0"/>
    </format>
    <format dxfId="30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961269-8323-4620-AECC-1EF119A6E2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34:M44"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axis="axisRow" dataField="1" showAll="0" sortType="descending">
      <items count="11">
        <item x="0"/>
        <item x="4"/>
        <item x="1"/>
        <item x="7"/>
        <item x="6"/>
        <item x="5"/>
        <item x="3"/>
        <item x="8"/>
        <item x="9"/>
        <item h="1" x="2"/>
        <item t="default"/>
      </items>
      <autoSortScope>
        <pivotArea dataOnly="0" outline="0" fieldPosition="0">
          <references count="1">
            <reference field="4294967294" count="1" selected="0">
              <x v="0"/>
            </reference>
          </references>
        </pivotArea>
      </autoSortScope>
    </pivotField>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10"/>
  </rowFields>
  <rowItems count="10">
    <i>
      <x v="2"/>
    </i>
    <i>
      <x/>
    </i>
    <i>
      <x v="6"/>
    </i>
    <i>
      <x v="1"/>
    </i>
    <i>
      <x v="7"/>
    </i>
    <i>
      <x v="8"/>
    </i>
    <i>
      <x v="5"/>
    </i>
    <i>
      <x v="4"/>
    </i>
    <i>
      <x v="3"/>
    </i>
    <i t="grand">
      <x/>
    </i>
  </rowItems>
  <colItems count="1">
    <i/>
  </colItems>
  <dataFields count="1">
    <dataField name="Count of اللون" fld="10" subtotal="count" baseField="0" baseItem="0"/>
  </dataFields>
  <formats count="12">
    <format dxfId="3089">
      <pivotArea type="all" dataOnly="0" outline="0" fieldPosition="0"/>
    </format>
    <format dxfId="3088">
      <pivotArea outline="0" collapsedLevelsAreSubtotals="1" fieldPosition="0"/>
    </format>
    <format dxfId="3087">
      <pivotArea field="10" type="button" dataOnly="0" labelOnly="1" outline="0" axis="axisRow" fieldPosition="0"/>
    </format>
    <format dxfId="3086">
      <pivotArea dataOnly="0" labelOnly="1" fieldPosition="0">
        <references count="1">
          <reference field="10" count="0"/>
        </references>
      </pivotArea>
    </format>
    <format dxfId="3085">
      <pivotArea dataOnly="0" labelOnly="1" grandRow="1" outline="0" fieldPosition="0"/>
    </format>
    <format dxfId="3084">
      <pivotArea dataOnly="0" labelOnly="1" outline="0" axis="axisValues" fieldPosition="0"/>
    </format>
    <format dxfId="2993">
      <pivotArea type="all" dataOnly="0" outline="0" fieldPosition="0"/>
    </format>
    <format dxfId="2992">
      <pivotArea outline="0" collapsedLevelsAreSubtotals="1" fieldPosition="0"/>
    </format>
    <format dxfId="2991">
      <pivotArea field="10" type="button" dataOnly="0" labelOnly="1" outline="0" axis="axisRow" fieldPosition="0"/>
    </format>
    <format dxfId="2990">
      <pivotArea dataOnly="0" labelOnly="1" fieldPosition="0">
        <references count="1">
          <reference field="10" count="0"/>
        </references>
      </pivotArea>
    </format>
    <format dxfId="2989">
      <pivotArea dataOnly="0" labelOnly="1" grandRow="1" outline="0" fieldPosition="0"/>
    </format>
    <format dxfId="2988">
      <pivotArea dataOnly="0" labelOnly="1" outline="0" axis="axisValues" fieldPosition="0"/>
    </format>
  </formats>
  <chartFormats count="17">
    <chartFormat chart="1" format="7"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EF87B1-F702-40BA-BFD6-E2E06CA0307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49:M56" firstHeaderRow="1" firstDataRow="1" firstDataCol="1"/>
  <pivotFields count="26">
    <pivotField showAll="0"/>
    <pivotField showAll="0"/>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axis="axisRow" dataField="1" showAll="0" sortType="descending">
      <items count="7">
        <item x="2"/>
        <item x="4"/>
        <item x="5"/>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v="3"/>
    </i>
    <i>
      <x v="5"/>
    </i>
    <i>
      <x/>
    </i>
    <i>
      <x v="4"/>
    </i>
    <i>
      <x v="1"/>
    </i>
    <i>
      <x v="2"/>
    </i>
    <i t="grand">
      <x/>
    </i>
  </rowItems>
  <colItems count="1">
    <i/>
  </colItems>
  <dataFields count="1">
    <dataField name="Count of الصنف" fld="6" subtotal="count" baseField="0" baseItem="0"/>
  </dataFields>
  <formats count="12">
    <format dxfId="3095">
      <pivotArea type="all" dataOnly="0" outline="0" fieldPosition="0"/>
    </format>
    <format dxfId="3094">
      <pivotArea outline="0" collapsedLevelsAreSubtotals="1" fieldPosition="0"/>
    </format>
    <format dxfId="3093">
      <pivotArea field="6" type="button" dataOnly="0" labelOnly="1" outline="0" axis="axisRow" fieldPosition="0"/>
    </format>
    <format dxfId="3092">
      <pivotArea dataOnly="0" labelOnly="1" fieldPosition="0">
        <references count="1">
          <reference field="6" count="0"/>
        </references>
      </pivotArea>
    </format>
    <format dxfId="3091">
      <pivotArea dataOnly="0" labelOnly="1" grandRow="1" outline="0" fieldPosition="0"/>
    </format>
    <format dxfId="3090">
      <pivotArea dataOnly="0" labelOnly="1" outline="0" axis="axisValues" fieldPosition="0"/>
    </format>
    <format dxfId="2987">
      <pivotArea type="all" dataOnly="0" outline="0" fieldPosition="0"/>
    </format>
    <format dxfId="2986">
      <pivotArea outline="0" collapsedLevelsAreSubtotals="1" fieldPosition="0"/>
    </format>
    <format dxfId="2985">
      <pivotArea field="6" type="button" dataOnly="0" labelOnly="1" outline="0" axis="axisRow" fieldPosition="0"/>
    </format>
    <format dxfId="2984">
      <pivotArea dataOnly="0" labelOnly="1" fieldPosition="0">
        <references count="1">
          <reference field="6" count="0"/>
        </references>
      </pivotArea>
    </format>
    <format dxfId="2983">
      <pivotArea dataOnly="0" labelOnly="1" grandRow="1" outline="0" fieldPosition="0"/>
    </format>
    <format dxfId="2982">
      <pivotArea dataOnly="0" labelOnly="1" outline="0" axis="axisValues" fieldPosition="0"/>
    </format>
  </formats>
  <chartFormats count="17">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5BA329-A763-4FF4-BA73-2AD27297DF8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V7:AW17" firstHeaderRow="1" firstDataRow="1" firstDataCol="1"/>
  <pivotFields count="26">
    <pivotField showAll="0"/>
    <pivotField showAll="0"/>
    <pivotField showAll="0"/>
    <pivotField axis="axisRow" dataField="1" showAll="0" sortType="descending">
      <items count="10">
        <item x="8"/>
        <item x="7"/>
        <item x="1"/>
        <item x="5"/>
        <item x="4"/>
        <item x="2"/>
        <item x="0"/>
        <item x="6"/>
        <item x="3"/>
        <item t="default"/>
      </items>
      <autoSortScope>
        <pivotArea dataOnly="0" outline="0" fieldPosition="0">
          <references count="1">
            <reference field="4294967294" count="1" selected="0">
              <x v="0"/>
            </reference>
          </references>
        </pivotArea>
      </autoSortScope>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0">
    <i>
      <x v="6"/>
    </i>
    <i>
      <x v="2"/>
    </i>
    <i>
      <x v="8"/>
    </i>
    <i>
      <x v="4"/>
    </i>
    <i>
      <x v="1"/>
    </i>
    <i>
      <x v="7"/>
    </i>
    <i>
      <x v="5"/>
    </i>
    <i>
      <x v="3"/>
    </i>
    <i>
      <x/>
    </i>
    <i t="grand">
      <x/>
    </i>
  </rowItems>
  <colItems count="1">
    <i/>
  </colItems>
  <dataFields count="1">
    <dataField name="Count of المحافظة" fld="3" subtotal="count" baseField="0" baseItem="0"/>
  </dataFields>
  <formats count="6">
    <format dxfId="3101">
      <pivotArea type="all" dataOnly="0" outline="0" fieldPosition="0"/>
    </format>
    <format dxfId="3100">
      <pivotArea outline="0" collapsedLevelsAreSubtotals="1" fieldPosition="0"/>
    </format>
    <format dxfId="3099">
      <pivotArea field="3" type="button" dataOnly="0" labelOnly="1" outline="0" axis="axisRow" fieldPosition="0"/>
    </format>
    <format dxfId="3098">
      <pivotArea dataOnly="0" labelOnly="1" fieldPosition="0">
        <references count="1">
          <reference field="3" count="0"/>
        </references>
      </pivotArea>
    </format>
    <format dxfId="3097">
      <pivotArea dataOnly="0" labelOnly="1" grandRow="1" outline="0" fieldPosition="0"/>
    </format>
    <format dxfId="3096">
      <pivotArea dataOnly="0" labelOnly="1" outline="0" axis="axisValues" fieldPosition="0"/>
    </format>
  </formats>
  <chartFormats count="1">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18C413-E817-4710-BBC9-1C410626D2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W7:X16" firstHeaderRow="1" firstDataRow="1" firstDataCol="1"/>
  <pivotFields count="26">
    <pivotField showAll="0"/>
    <pivotField showAll="0"/>
    <pivotField showAll="0"/>
    <pivotField showAll="0">
      <items count="10">
        <item x="8"/>
        <item x="7"/>
        <item x="1"/>
        <item x="5"/>
        <item x="4"/>
        <item x="2"/>
        <item x="0"/>
        <item x="6"/>
        <item x="3"/>
        <item t="default"/>
      </items>
    </pivotField>
    <pivotField axis="axisRow" showAll="0" sortType="descending">
      <items count="9">
        <item x="5"/>
        <item x="4"/>
        <item x="3"/>
        <item x="1"/>
        <item x="2"/>
        <item x="7"/>
        <item x="6"/>
        <item x="0"/>
        <item t="default"/>
      </items>
      <autoSortScope>
        <pivotArea dataOnly="0" outline="0" fieldPosition="0">
          <references count="1">
            <reference field="4294967294" count="1" selected="0">
              <x v="0"/>
            </reference>
          </references>
        </pivotArea>
      </autoSortScope>
    </pivotField>
    <pivotField showAll="0"/>
    <pivotField showAll="0">
      <items count="7">
        <item x="1"/>
        <item x="3"/>
        <item x="0"/>
        <item x="5"/>
        <item x="4"/>
        <item x="2"/>
        <item t="default"/>
      </items>
    </pivotField>
    <pivotField showAll="0"/>
    <pivotField showAll="0"/>
    <pivotField showAll="0"/>
    <pivotField showAll="0"/>
    <pivotField dataField="1"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v="7"/>
    </i>
    <i>
      <x v="3"/>
    </i>
    <i>
      <x v="2"/>
    </i>
    <i>
      <x v="1"/>
    </i>
    <i>
      <x/>
    </i>
    <i>
      <x v="4"/>
    </i>
    <i>
      <x v="6"/>
    </i>
    <i>
      <x v="5"/>
    </i>
    <i t="grand">
      <x/>
    </i>
  </rowItems>
  <colItems count="1">
    <i/>
  </colItems>
  <dataFields count="1">
    <dataField name="Price" fld="11" baseField="6" baseItem="0" numFmtId="165"/>
  </dataFields>
  <formats count="13">
    <format dxfId="3108">
      <pivotArea outline="0" collapsedLevelsAreSubtotals="1" fieldPosition="0"/>
    </format>
    <format dxfId="3107">
      <pivotArea type="all" dataOnly="0" outline="0" fieldPosition="0"/>
    </format>
    <format dxfId="3106">
      <pivotArea outline="0" collapsedLevelsAreSubtotals="1" fieldPosition="0"/>
    </format>
    <format dxfId="3105">
      <pivotArea field="4" type="button" dataOnly="0" labelOnly="1" outline="0" axis="axisRow" fieldPosition="0"/>
    </format>
    <format dxfId="3104">
      <pivotArea dataOnly="0" labelOnly="1" fieldPosition="0">
        <references count="1">
          <reference field="4" count="0"/>
        </references>
      </pivotArea>
    </format>
    <format dxfId="3103">
      <pivotArea dataOnly="0" labelOnly="1" grandRow="1" outline="0" fieldPosition="0"/>
    </format>
    <format dxfId="3102">
      <pivotArea dataOnly="0" labelOnly="1" outline="0" axis="axisValues" fieldPosition="0"/>
    </format>
    <format dxfId="2981">
      <pivotArea type="all" dataOnly="0" outline="0" fieldPosition="0"/>
    </format>
    <format dxfId="2980">
      <pivotArea outline="0" collapsedLevelsAreSubtotals="1" fieldPosition="0"/>
    </format>
    <format dxfId="2979">
      <pivotArea field="4" type="button" dataOnly="0" labelOnly="1" outline="0" axis="axisRow" fieldPosition="0"/>
    </format>
    <format dxfId="2978">
      <pivotArea dataOnly="0" labelOnly="1" fieldPosition="0">
        <references count="1">
          <reference field="4" count="0"/>
        </references>
      </pivotArea>
    </format>
    <format dxfId="2977">
      <pivotArea dataOnly="0" labelOnly="1" grandRow="1" outline="0" fieldPosition="0"/>
    </format>
    <format dxfId="2976">
      <pivotArea dataOnly="0" labelOnly="1" outline="0" axis="axisValues" fieldPosition="0"/>
    </format>
  </formats>
  <chartFormats count="9">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3"/>
          </reference>
        </references>
      </pivotArea>
    </chartFormat>
    <chartFormat chart="0" format="10">
      <pivotArea type="data" outline="0" fieldPosition="0">
        <references count="2">
          <reference field="4294967294" count="1" selected="0">
            <x v="0"/>
          </reference>
          <reference field="4" count="1" selected="0">
            <x v="2"/>
          </reference>
        </references>
      </pivotArea>
    </chartFormat>
    <chartFormat chart="0" format="11">
      <pivotArea type="data" outline="0" fieldPosition="0">
        <references count="2">
          <reference field="4294967294" count="1" selected="0">
            <x v="0"/>
          </reference>
          <reference field="4" count="1" selected="0">
            <x v="1"/>
          </reference>
        </references>
      </pivotArea>
    </chartFormat>
    <chartFormat chart="0" format="12">
      <pivotArea type="data" outline="0" fieldPosition="0">
        <references count="2">
          <reference field="4294967294" count="1" selected="0">
            <x v="0"/>
          </reference>
          <reference field="4" count="1" selected="0">
            <x v="0"/>
          </reference>
        </references>
      </pivotArea>
    </chartFormat>
    <chartFormat chart="0" format="13">
      <pivotArea type="data" outline="0" fieldPosition="0">
        <references count="2">
          <reference field="4294967294" count="1" selected="0">
            <x v="0"/>
          </reference>
          <reference field="4" count="1" selected="0">
            <x v="4"/>
          </reference>
        </references>
      </pivotArea>
    </chartFormat>
    <chartFormat chart="0" format="14">
      <pivotArea type="data" outline="0" fieldPosition="0">
        <references count="2">
          <reference field="4294967294" count="1" selected="0">
            <x v="0"/>
          </reference>
          <reference field="4" count="1" selected="0">
            <x v="6"/>
          </reference>
        </references>
      </pivotArea>
    </chartFormat>
    <chartFormat chart="0" format="15">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581BE7-FFB5-4D94-840E-AEBA5EEBA43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D15:BE19" firstHeaderRow="1" firstDataRow="1" firstDataCol="1"/>
  <pivotFields count="26">
    <pivotField showAll="0"/>
    <pivotField showAll="0">
      <items count="3">
        <item x="0"/>
        <item x="1"/>
        <item t="default"/>
      </items>
    </pivotField>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items count="4">
        <item x="2"/>
        <item x="1"/>
        <item x="0"/>
        <item t="default"/>
      </items>
    </pivotField>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i>
    <i>
      <x v="2"/>
    </i>
    <i>
      <x v="1"/>
    </i>
    <i t="grand">
      <x/>
    </i>
  </rowItems>
  <colItems count="1">
    <i/>
  </colItems>
  <dataFields count="1">
    <dataField name="%Experience" fld="20" subtotal="count" showDataAs="percentOfTotal" baseField="19" baseItem="0" numFmtId="164"/>
  </dataFields>
  <formats count="14">
    <format dxfId="3115">
      <pivotArea outline="0" collapsedLevelsAreSubtotals="1" fieldPosition="0"/>
    </format>
    <format dxfId="3114">
      <pivotArea type="all" dataOnly="0" outline="0" fieldPosition="0"/>
    </format>
    <format dxfId="3113">
      <pivotArea outline="0" collapsedLevelsAreSubtotals="1" fieldPosition="0"/>
    </format>
    <format dxfId="3112">
      <pivotArea field="19" type="button" dataOnly="0" labelOnly="1" outline="0" axis="axisRow" fieldPosition="0"/>
    </format>
    <format dxfId="3111">
      <pivotArea dataOnly="0" labelOnly="1" fieldPosition="0">
        <references count="1">
          <reference field="19" count="0"/>
        </references>
      </pivotArea>
    </format>
    <format dxfId="3110">
      <pivotArea dataOnly="0" labelOnly="1" grandRow="1" outline="0" fieldPosition="0"/>
    </format>
    <format dxfId="3109">
      <pivotArea dataOnly="0" labelOnly="1" outline="0" axis="axisValues" fieldPosition="0"/>
    </format>
    <format dxfId="2957">
      <pivotArea type="all" dataOnly="0" outline="0" fieldPosition="0"/>
    </format>
    <format dxfId="2956">
      <pivotArea outline="0" collapsedLevelsAreSubtotals="1" fieldPosition="0"/>
    </format>
    <format dxfId="2955">
      <pivotArea field="19" type="button" dataOnly="0" labelOnly="1" outline="0" axis="axisRow" fieldPosition="0"/>
    </format>
    <format dxfId="2954">
      <pivotArea dataOnly="0" labelOnly="1" fieldPosition="0">
        <references count="1">
          <reference field="19" count="0"/>
        </references>
      </pivotArea>
    </format>
    <format dxfId="2953">
      <pivotArea dataOnly="0" labelOnly="1" grandRow="1" outline="0" fieldPosition="0"/>
    </format>
    <format dxfId="2952">
      <pivotArea dataOnly="0" labelOnly="1" outline="0" axis="axisValues" fieldPosition="0"/>
    </format>
    <format dxfId="2938">
      <pivotArea outline="0" collapsedLevelsAreSubtotals="1" fieldPosition="0"/>
    </format>
  </formats>
  <chartFormats count="4">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9" count="1" selected="0">
            <x v="0"/>
          </reference>
        </references>
      </pivotArea>
    </chartFormat>
    <chartFormat chart="0" format="11">
      <pivotArea type="data" outline="0" fieldPosition="0">
        <references count="2">
          <reference field="4294967294" count="1" selected="0">
            <x v="0"/>
          </reference>
          <reference field="19" count="1" selected="0">
            <x v="2"/>
          </reference>
        </references>
      </pivotArea>
    </chartFormat>
    <chartFormat chart="0" format="12">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4E5558-3009-4CE9-878E-784500E0703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D7:BE10" firstHeaderRow="1" firstDataRow="1" firstDataCol="1"/>
  <pivotFields count="26">
    <pivotField showAll="0"/>
    <pivotField axis="axisRow" showAll="0">
      <items count="3">
        <item x="0"/>
        <item x="1"/>
        <item t="default"/>
      </items>
    </pivotField>
    <pivotField showAll="0"/>
    <pivotField showAll="0">
      <items count="10">
        <item x="8"/>
        <item x="7"/>
        <item x="1"/>
        <item x="5"/>
        <item x="4"/>
        <item x="2"/>
        <item x="0"/>
        <item x="6"/>
        <item x="3"/>
        <item t="default"/>
      </items>
    </pivotField>
    <pivotField showAll="0">
      <items count="9">
        <item x="5"/>
        <item x="4"/>
        <item x="3"/>
        <item x="1"/>
        <item x="2"/>
        <item x="7"/>
        <item x="6"/>
        <item x="0"/>
        <item t="default"/>
      </items>
    </pivotField>
    <pivotField showAll="0"/>
    <pivotField showAll="0">
      <items count="7">
        <item x="1"/>
        <item x="3"/>
        <item x="0"/>
        <item x="5"/>
        <item x="4"/>
        <item x="2"/>
        <item t="default"/>
      </items>
    </pivotField>
    <pivotField showAll="0"/>
    <pivotField showAll="0"/>
    <pivotField showAll="0"/>
    <pivotField showAll="0"/>
    <pivotField showAll="0"/>
    <pivotField showAll="0"/>
    <pivotField showAll="0">
      <items count="57">
        <item x="8"/>
        <item x="16"/>
        <item x="3"/>
        <item x="13"/>
        <item x="4"/>
        <item x="5"/>
        <item x="2"/>
        <item x="11"/>
        <item x="10"/>
        <item x="9"/>
        <item x="15"/>
        <item x="12"/>
        <item x="14"/>
        <item x="7"/>
        <item x="0"/>
        <item x="1"/>
        <item x="17"/>
        <item x="18"/>
        <item x="19"/>
        <item x="20"/>
        <item x="21"/>
        <item x="22"/>
        <item x="23"/>
        <item x="24"/>
        <item x="26"/>
        <item x="25"/>
        <item x="27"/>
        <item x="28"/>
        <item x="29"/>
        <item x="30"/>
        <item x="31"/>
        <item x="33"/>
        <item x="32"/>
        <item x="34"/>
        <item x="35"/>
        <item x="36"/>
        <item x="38"/>
        <item x="39"/>
        <item x="37"/>
        <item x="40"/>
        <item x="41"/>
        <item x="42"/>
        <item x="46"/>
        <item x="43"/>
        <item x="44"/>
        <item x="45"/>
        <item x="47"/>
        <item x="48"/>
        <item x="49"/>
        <item x="51"/>
        <item x="50"/>
        <item x="52"/>
        <item x="53"/>
        <item x="54"/>
        <item x="55"/>
        <item x="6"/>
        <item t="default"/>
      </items>
    </pivotField>
    <pivotField showAll="0"/>
    <pivotField showAll="0"/>
    <pivotField showAll="0"/>
    <pivotField showAll="0"/>
    <pivotField showAll="0"/>
    <pivotField showAll="0">
      <items count="4">
        <item x="1"/>
        <item x="0"/>
        <item x="2"/>
        <item t="default"/>
      </items>
    </pivotField>
    <pivotField dataField="1" showAll="0">
      <items count="4">
        <item x="2"/>
        <item x="1"/>
        <item x="0"/>
        <item t="default"/>
      </items>
    </pivotField>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i>
    <i>
      <x v="1"/>
    </i>
    <i t="grand">
      <x/>
    </i>
  </rowItems>
  <colItems count="1">
    <i/>
  </colItems>
  <dataFields count="1">
    <dataField name="Clients number" fld="20" subtotal="count" showDataAs="percentOfTotal" baseField="1" baseItem="0" numFmtId="9"/>
  </dataFields>
  <formats count="13">
    <format dxfId="3122">
      <pivotArea outline="0" collapsedLevelsAreSubtotals="1" fieldPosition="0"/>
    </format>
    <format dxfId="3121">
      <pivotArea type="all" dataOnly="0" outline="0" fieldPosition="0"/>
    </format>
    <format dxfId="3120">
      <pivotArea outline="0" collapsedLevelsAreSubtotals="1" fieldPosition="0"/>
    </format>
    <format dxfId="3119">
      <pivotArea field="1" type="button" dataOnly="0" labelOnly="1" outline="0" axis="axisRow" fieldPosition="0"/>
    </format>
    <format dxfId="3118">
      <pivotArea dataOnly="0" labelOnly="1" fieldPosition="0">
        <references count="1">
          <reference field="1" count="0"/>
        </references>
      </pivotArea>
    </format>
    <format dxfId="3117">
      <pivotArea dataOnly="0" labelOnly="1" grandRow="1" outline="0" fieldPosition="0"/>
    </format>
    <format dxfId="3116">
      <pivotArea dataOnly="0" labelOnly="1" outline="0" axis="axisValues" fieldPosition="0"/>
    </format>
    <format dxfId="2963">
      <pivotArea type="all" dataOnly="0" outline="0" fieldPosition="0"/>
    </format>
    <format dxfId="2962">
      <pivotArea outline="0" collapsedLevelsAreSubtotals="1" fieldPosition="0"/>
    </format>
    <format dxfId="2961">
      <pivotArea field="1" type="button" dataOnly="0" labelOnly="1" outline="0" axis="axisRow" fieldPosition="0"/>
    </format>
    <format dxfId="2960">
      <pivotArea dataOnly="0" labelOnly="1" fieldPosition="0">
        <references count="1">
          <reference field="1" count="0"/>
        </references>
      </pivotArea>
    </format>
    <format dxfId="2959">
      <pivotArea dataOnly="0" labelOnly="1" grandRow="1" outline="0" fieldPosition="0"/>
    </format>
    <format dxfId="2958">
      <pivotArea dataOnly="0" labelOnly="1" outline="0" axis="axisValues" fieldPosition="0"/>
    </format>
  </formats>
  <chartFormats count="3">
    <chartFormat chart="0" format="16" series="1">
      <pivotArea type="data" outline="0" fieldPosition="0">
        <references count="1">
          <reference field="4294967294" count="1" selected="0">
            <x v="0"/>
          </reference>
        </references>
      </pivotArea>
    </chartFormat>
    <chartFormat chart="0" format="17">
      <pivotArea type="data" outline="0" fieldPosition="0">
        <references count="2">
          <reference field="4294967294" count="1" selected="0">
            <x v="0"/>
          </reference>
          <reference field="1" count="1" selected="0">
            <x v="0"/>
          </reference>
        </references>
      </pivotArea>
    </chartFormat>
    <chartFormat chart="0" format="1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21BBA4-1DCE-48D7-84CF-11D3882997B6}" autoFormatId="16" applyNumberFormats="0" applyBorderFormats="0" applyFontFormats="0" applyPatternFormats="0" applyAlignmentFormats="0" applyWidthHeightFormats="0">
  <queryTableRefresh nextId="25">
    <queryTableFields count="24">
      <queryTableField id="1" name="أسم العميل" tableColumnId="1"/>
      <queryTableField id="2" name="نوع العميل" tableColumnId="2"/>
      <queryTableField id="3" name="المدينة" tableColumnId="3"/>
      <queryTableField id="4" name="المحافظة" tableColumnId="4"/>
      <queryTableField id="5" name="منصة البيع " tableColumnId="5"/>
      <queryTableField id="6" name="الكمية" tableColumnId="6"/>
      <queryTableField id="7" name="الصنف" tableColumnId="7"/>
      <queryTableField id="8" name="نوع الصنف" tableColumnId="8"/>
      <queryTableField id="9" name="الاسم" tableColumnId="9"/>
      <queryTableField id="10" name="المقاس" tableColumnId="10"/>
      <queryTableField id="11" name="اللون" tableColumnId="11"/>
      <queryTableField id="12" name="سعر البيع " tableColumnId="12"/>
      <queryTableField id="13" name="طريقة الدفع" tableColumnId="13"/>
      <queryTableField id="14" name="تاريخ الطلب" tableColumnId="14"/>
      <queryTableField id="15" name="ميعاد التسليم المتوقع " tableColumnId="15"/>
      <queryTableField id="16" name="تاريخ التسليم الفعلي" tableColumnId="16"/>
      <queryTableField id="17" name="المدة المتوقعة" tableColumnId="17"/>
      <queryTableField id="18" name="المدة الفعلية" tableColumnId="18"/>
      <queryTableField id="19" name="الفرق بين الفعلي والمتوقع" tableColumnId="19"/>
      <queryTableField id="20" name="تجربة العميل" tableColumnId="20"/>
      <queryTableField id="21" name="حالة الالتزام" tableColumnId="21"/>
      <queryTableField id="22" name="المسئول عن التسليم" tableColumnId="22"/>
      <queryTableField id="23" name="نوع جهة التسليم" tableColumnId="23"/>
      <queryTableField id="24" name="الحالة"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A9290CAA-1024-4E0C-B21B-D9416BCDE0F3}" sourceName="المحافظة">
  <pivotTables>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45913265">
      <items count="9">
        <i x="8" s="1"/>
        <i x="7" s="1"/>
        <i x="1" s="1"/>
        <i x="5" s="1"/>
        <i x="4" s="1"/>
        <i x="2" s="1"/>
        <i x="0"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B083CFEE-29DD-4128-A012-30132F456483}" sourceName="منصة البيع ">
  <pivotTables>
    <pivotTable tabId="3" name="PivotTable11"/>
    <pivotTable tabId="3" name="PivotTable10"/>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45913265">
      <items count="8">
        <i x="5" s="1"/>
        <i x="4" s="1"/>
        <i x="3" s="1"/>
        <i x="1" s="1"/>
        <i x="2" s="1"/>
        <i x="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صنف" xr10:uid="{104BF307-943A-46F6-8169-21FB273EC1B9}" sourceName="الصنف">
  <pivotTables>
    <pivotTable tabId="3" name="PivotTable11"/>
    <pivotTable tabId="3" name="PivotTable10"/>
    <pivotTable tabId="3" name="PivotTable12"/>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45913265">
      <items count="6">
        <i x="1" s="1"/>
        <i x="3" s="1"/>
        <i x="0" s="1"/>
        <i x="5"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تجربة_العميل" xr10:uid="{7DFBBDC9-749E-454A-A281-DD4D19E42C1C}" sourceName="تجربة العميل">
  <pivotTables>
    <pivotTable tabId="3" name="PivotTable12"/>
    <pivotTable tabId="3" name="PivotTable10"/>
    <pivotTable tabId="3" name="PivotTable11"/>
    <pivotTable tabId="3" name="PivotTable13"/>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45913265">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26F0905D-989F-42D3-A2C4-7DE8BE7FB9E4}" sourceName="الحالة">
  <pivotTables>
    <pivotTable tabId="3" name="PivotTable13"/>
    <pivotTable tabId="3" name="PivotTable10"/>
    <pivotTable tabId="3" name="PivotTable11"/>
    <pivotTable tabId="3" name="PivotTable12"/>
    <pivotTable tabId="3" name="PivotTable14"/>
    <pivotTable tabId="3" name="PivotTable15"/>
    <pivotTable tabId="3" name="PivotTable16"/>
    <pivotTable tabId="3" name="PivotTable17"/>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4459132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xr10:uid="{CD0E29DD-073E-4071-9066-7C76C44F4EF4}" cache="Slicer_المحافظة" caption="المحافظة" columnCount="3" style="Slicer Style 2" rowHeight="182880"/>
  <slicer name="منصة البيع " xr10:uid="{7943D665-25C7-49EA-AC4D-EE91372DBDC9}" cache="Slicer_منصة_البيع" caption="منصة البيع " columnCount="4" style="Slicer Style 2" rowHeight="182880"/>
  <slicer name="الصنف" xr10:uid="{77C39789-92C2-467F-8316-27F6E5B5BB29}" cache="Slicer_الصنف" caption="الصنف" columnCount="3" style="Slicer Style 2" rowHeight="182880"/>
  <slicer name="تجربة العميل" xr10:uid="{DDE241ED-86CD-44B0-82C4-548D3A29258A}" cache="Slicer_تجربة_العميل" caption="تجربة العميل" columnCount="3" style="Slicer Style 2" rowHeight="182880"/>
  <slicer name="الحالة" xr10:uid="{8D77C1E5-6C24-4606-9B65-D09C4122CF71}" cache="Slicer_الحالة" caption="الحالة" columnCount="3"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3" xr10:uid="{FA39F15D-DA28-41F7-9682-B9FE41C415DA}" cache="Slicer_المحافظة" caption="المحافظة" columnCount="3" style="Slicer Style 2" rowHeight="182880"/>
  <slicer name="منصة البيع  3" xr10:uid="{066B1740-41DB-4ABE-AFE6-1BDC67CC19D8}" cache="Slicer_منصة_البيع" caption="منصة البيع " columnCount="4" style="Slicer Style 2" rowHeight="182880"/>
  <slicer name="الصنف 3" xr10:uid="{1482F252-5668-4B64-90DF-7CD629F89559}" cache="Slicer_الصنف" caption="الصنف" columnCount="3" style="Slicer Style 2" rowHeight="182880"/>
  <slicer name="تجربة العميل 3" xr10:uid="{E781630F-2E58-4F07-BD2F-E801B2A1AC6D}" cache="Slicer_تجربة_العميل" caption="تجربة العميل" columnCount="3" style="Slicer Style 2" rowHeight="182880"/>
  <slicer name="الحالة 3" xr10:uid="{807B7641-048C-40C4-91B1-8DB6E7FD47B3}" cache="Slicer_الحالة" caption="الحالة" columnCount="3"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حافظة 2" xr10:uid="{7E7B8D92-857F-448A-B6AD-28FFD99DF920}" cache="Slicer_المحافظة" caption="المحافظة" columnCount="3" style="Slicer Style 2" rowHeight="182880"/>
  <slicer name="منصة البيع  2" xr10:uid="{90B03771-DCDA-48AD-810F-06D7F591BB13}" cache="Slicer_منصة_البيع" caption="منصة البيع " columnCount="4" style="Slicer Style 2" rowHeight="182880"/>
  <slicer name="الصنف 2" xr10:uid="{BE3B1DC0-1EB5-4937-B7CC-558886FF6351}" cache="Slicer_الصنف" caption="الصنف" columnCount="3" style="Slicer Style 2" rowHeight="182880"/>
  <slicer name="تجربة العميل 2" xr10:uid="{2077CC3A-FF7B-4DEC-B445-6B3B1B4715FE}" cache="Slicer_تجربة_العميل" caption="تجربة العميل" columnCount="3" style="Slicer Style 2" rowHeight="182880"/>
  <slicer name="الحالة 2" xr10:uid="{B7EB5DD2-2EA4-48EB-B367-2DD682028983}" cache="Slicer_الحالة" caption="الحالة" columnCount="3"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D1A148-75E3-47D1-8B49-8FE9505D90C1}" name="MISUO" displayName="MISUO" ref="A1:X121" tableType="queryTable" totalsRowShown="0">
  <autoFilter ref="A1:X121" xr:uid="{FDD1A148-75E3-47D1-8B49-8FE9505D90C1}"/>
  <tableColumns count="24">
    <tableColumn id="1" xr3:uid="{2BBB2208-5C0B-40D7-A437-DD771561E5A4}" uniqueName="1" name="أسم العميل" queryTableFieldId="1" dataDxfId="3140"/>
    <tableColumn id="2" xr3:uid="{B74073A5-2257-4E20-B050-8403ED008471}" uniqueName="2" name="نوع العميل" queryTableFieldId="2" dataDxfId="3139"/>
    <tableColumn id="3" xr3:uid="{FD57CF3C-8508-49C0-A6F3-83A95D5A2013}" uniqueName="3" name="المدينة" queryTableFieldId="3" dataDxfId="3138"/>
    <tableColumn id="4" xr3:uid="{1293EBD8-E675-4016-8ACA-8CBD1FF26F18}" uniqueName="4" name="المحافظة" queryTableFieldId="4" dataDxfId="3137"/>
    <tableColumn id="5" xr3:uid="{79CF7D50-CF9B-4E9A-BBD2-1512A1A37F33}" uniqueName="5" name="منصة البيع " queryTableFieldId="5" dataDxfId="3136"/>
    <tableColumn id="6" xr3:uid="{79147222-7793-482D-9D74-C7F603D87683}" uniqueName="6" name="الكمية" queryTableFieldId="6"/>
    <tableColumn id="7" xr3:uid="{54554102-CEFE-4644-9D6B-8713505BD7AE}" uniqueName="7" name="الصنف" queryTableFieldId="7" dataDxfId="3135"/>
    <tableColumn id="8" xr3:uid="{6413EA16-EAC5-4004-9F7D-075A17A5DEB2}" uniqueName="8" name="نوع الصنف" queryTableFieldId="8" dataDxfId="3134"/>
    <tableColumn id="9" xr3:uid="{277B5EBD-3CDB-4BEB-B5B6-D901EBE0A2ED}" uniqueName="9" name="الاسم" queryTableFieldId="9" dataDxfId="3133"/>
    <tableColumn id="10" xr3:uid="{91695D09-1B73-4CB5-8A8E-454751CDC124}" uniqueName="10" name="المقاس" queryTableFieldId="10"/>
    <tableColumn id="11" xr3:uid="{645B32C7-1E44-4405-8DD4-78B436A227E0}" uniqueName="11" name="اللون" queryTableFieldId="11" dataDxfId="3132"/>
    <tableColumn id="12" xr3:uid="{36DC445D-9A2C-41DE-90AE-3649BE574FDC}" uniqueName="12" name="سعر البيع " queryTableFieldId="12"/>
    <tableColumn id="13" xr3:uid="{3BB3412B-45C5-450B-BE4C-7E2F800119D7}" uniqueName="13" name="طريقة الدفع" queryTableFieldId="13" dataDxfId="3131"/>
    <tableColumn id="14" xr3:uid="{1529211D-9BAD-45C5-8EFF-5D93D35CF65C}" uniqueName="14" name="تاريخ الطلب" queryTableFieldId="14" dataDxfId="3130"/>
    <tableColumn id="15" xr3:uid="{55FA9299-8510-446A-8B92-68D681850478}" uniqueName="15" name="ميعاد التسليم المتوقع " queryTableFieldId="15" dataDxfId="3129"/>
    <tableColumn id="16" xr3:uid="{24AA3A37-0645-49B8-B466-C68515453DC4}" uniqueName="16" name="تاريخ التسليم الفعلي" queryTableFieldId="16" dataDxfId="3128"/>
    <tableColumn id="17" xr3:uid="{5635E11E-5465-4975-8BF5-05157AA2CC3D}" uniqueName="17" name="المدة المتوقعة" queryTableFieldId="17"/>
    <tableColumn id="18" xr3:uid="{5476A63E-17E0-4DFC-96D9-71A6E8D26FEC}" uniqueName="18" name="المدة الفعلية" queryTableFieldId="18"/>
    <tableColumn id="19" xr3:uid="{1A273E04-C157-4228-8BD6-44A22C7EB7AD}" uniqueName="19" name="الفرق بين الفعلي والمتوقع" queryTableFieldId="19"/>
    <tableColumn id="20" xr3:uid="{51A56A0B-1FD4-4C31-8EFD-0C0D995E1F32}" uniqueName="20" name="تجربة العميل" queryTableFieldId="20" dataDxfId="3127"/>
    <tableColumn id="21" xr3:uid="{61643333-A89C-4A5F-9F31-C69E1278322B}" uniqueName="21" name="حالة الالتزام" queryTableFieldId="21" dataDxfId="3126"/>
    <tableColumn id="22" xr3:uid="{F2D12050-5852-4C5D-8DCE-846D4F8CFDD3}" uniqueName="22" name="المسئول عن التسليم" queryTableFieldId="22" dataDxfId="3125"/>
    <tableColumn id="23" xr3:uid="{C34BD195-7EB0-4859-98FC-20B61046E7E2}" uniqueName="23" name="نوع جهة التسليم" queryTableFieldId="23" dataDxfId="3124"/>
    <tableColumn id="24" xr3:uid="{08042B8F-E848-4F2C-90AF-FA37D6EC9638}" uniqueName="24" name="الحالة" queryTableFieldId="24" dataDxfId="312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06ED-31CD-4825-AA42-2DD1F2E3B8A7}">
  <dimension ref="A1:X121"/>
  <sheetViews>
    <sheetView rightToLeft="1" tabSelected="1" workbookViewId="0">
      <selection activeCell="G11" sqref="G11"/>
    </sheetView>
  </sheetViews>
  <sheetFormatPr defaultRowHeight="14.4" x14ac:dyDescent="0.3"/>
  <cols>
    <col min="1" max="1" width="15.44140625" bestFit="1" customWidth="1"/>
    <col min="2" max="2" width="10.44140625" bestFit="1" customWidth="1"/>
    <col min="3" max="3" width="13.21875" bestFit="1" customWidth="1"/>
    <col min="4" max="4" width="11.21875" bestFit="1" customWidth="1"/>
    <col min="5" max="5" width="11.109375" bestFit="1" customWidth="1"/>
    <col min="6" max="6" width="7.21875" bestFit="1" customWidth="1"/>
    <col min="7" max="7" width="8.109375" bestFit="1" customWidth="1"/>
    <col min="8" max="8" width="10.88671875" bestFit="1" customWidth="1"/>
    <col min="9" max="9" width="7.109375" bestFit="1" customWidth="1"/>
    <col min="10" max="10" width="8.109375" bestFit="1" customWidth="1"/>
    <col min="11" max="11" width="7.33203125" bestFit="1" customWidth="1"/>
    <col min="12" max="12" width="10.21875" bestFit="1" customWidth="1"/>
    <col min="13" max="13" width="11.5546875" bestFit="1" customWidth="1"/>
    <col min="14" max="14" width="12" bestFit="1" customWidth="1"/>
    <col min="15" max="15" width="18.44140625" bestFit="1" customWidth="1"/>
    <col min="16" max="16" width="17.33203125" bestFit="1" customWidth="1"/>
    <col min="17" max="17" width="12.77734375" bestFit="1" customWidth="1"/>
    <col min="18" max="18" width="11.6640625" bestFit="1" customWidth="1"/>
    <col min="19" max="19" width="20.44140625" bestFit="1" customWidth="1"/>
    <col min="20" max="20" width="12.21875" bestFit="1" customWidth="1"/>
    <col min="21" max="21" width="10.88671875" bestFit="1" customWidth="1"/>
    <col min="22" max="22" width="20.109375" bestFit="1" customWidth="1"/>
    <col min="23" max="23" width="14.5546875" bestFit="1" customWidth="1"/>
    <col min="24" max="24" width="9.441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t="s">
        <v>26</v>
      </c>
      <c r="D2" t="s">
        <v>27</v>
      </c>
      <c r="E2" t="s">
        <v>28</v>
      </c>
      <c r="F2">
        <v>1</v>
      </c>
      <c r="G2" t="s">
        <v>29</v>
      </c>
      <c r="H2" t="s">
        <v>30</v>
      </c>
      <c r="I2" t="s">
        <v>31</v>
      </c>
      <c r="J2">
        <v>80</v>
      </c>
      <c r="K2" t="s">
        <v>32</v>
      </c>
      <c r="L2">
        <v>16599</v>
      </c>
      <c r="M2" t="s">
        <v>33</v>
      </c>
      <c r="N2" s="1">
        <v>45548</v>
      </c>
      <c r="O2" s="1">
        <v>45565</v>
      </c>
      <c r="P2" s="1">
        <v>45568</v>
      </c>
      <c r="Q2">
        <v>17</v>
      </c>
      <c r="R2">
        <v>20</v>
      </c>
      <c r="S2">
        <v>3</v>
      </c>
      <c r="T2" t="s">
        <v>34</v>
      </c>
      <c r="U2" t="s">
        <v>35</v>
      </c>
      <c r="V2" t="s">
        <v>36</v>
      </c>
      <c r="W2" t="s">
        <v>37</v>
      </c>
      <c r="X2" t="s">
        <v>38</v>
      </c>
    </row>
    <row r="3" spans="1:24" x14ac:dyDescent="0.3">
      <c r="A3" t="s">
        <v>39</v>
      </c>
      <c r="B3" t="s">
        <v>25</v>
      </c>
      <c r="C3" t="s">
        <v>40</v>
      </c>
      <c r="D3" t="s">
        <v>27</v>
      </c>
      <c r="E3" t="s">
        <v>28</v>
      </c>
      <c r="F3">
        <v>1</v>
      </c>
      <c r="G3" t="s">
        <v>29</v>
      </c>
      <c r="H3" t="s">
        <v>30</v>
      </c>
      <c r="I3" t="s">
        <v>31</v>
      </c>
      <c r="J3">
        <v>90</v>
      </c>
      <c r="K3" t="s">
        <v>41</v>
      </c>
      <c r="L3">
        <v>17249</v>
      </c>
      <c r="M3" t="s">
        <v>33</v>
      </c>
      <c r="N3" s="1">
        <v>45548</v>
      </c>
      <c r="O3" s="1">
        <v>45565</v>
      </c>
      <c r="P3" s="1">
        <v>45569</v>
      </c>
      <c r="Q3">
        <v>17</v>
      </c>
      <c r="R3">
        <v>21</v>
      </c>
      <c r="S3">
        <v>4</v>
      </c>
      <c r="T3" t="s">
        <v>42</v>
      </c>
      <c r="U3" t="s">
        <v>35</v>
      </c>
      <c r="V3" t="s">
        <v>36</v>
      </c>
      <c r="W3" t="s">
        <v>37</v>
      </c>
      <c r="X3" t="s">
        <v>38</v>
      </c>
    </row>
    <row r="4" spans="1:24" x14ac:dyDescent="0.3">
      <c r="A4" t="s">
        <v>43</v>
      </c>
      <c r="B4" t="s">
        <v>25</v>
      </c>
      <c r="C4" t="s">
        <v>44</v>
      </c>
      <c r="D4" t="s">
        <v>45</v>
      </c>
      <c r="E4" t="s">
        <v>28</v>
      </c>
      <c r="F4">
        <v>1</v>
      </c>
      <c r="G4" t="s">
        <v>29</v>
      </c>
      <c r="H4" t="s">
        <v>46</v>
      </c>
      <c r="I4" t="s">
        <v>47</v>
      </c>
      <c r="J4">
        <v>140</v>
      </c>
      <c r="K4" t="s">
        <v>41</v>
      </c>
      <c r="L4">
        <v>11817</v>
      </c>
      <c r="M4" t="s">
        <v>33</v>
      </c>
      <c r="N4" s="1">
        <v>45549</v>
      </c>
      <c r="O4" s="1">
        <v>45594</v>
      </c>
      <c r="P4" s="1">
        <v>45580</v>
      </c>
      <c r="Q4">
        <v>45</v>
      </c>
      <c r="R4">
        <v>31</v>
      </c>
      <c r="S4">
        <v>-14</v>
      </c>
      <c r="T4" t="s">
        <v>48</v>
      </c>
      <c r="U4" t="s">
        <v>49</v>
      </c>
      <c r="V4" t="s">
        <v>36</v>
      </c>
      <c r="W4" t="s">
        <v>37</v>
      </c>
      <c r="X4" t="s">
        <v>38</v>
      </c>
    </row>
    <row r="5" spans="1:24" x14ac:dyDescent="0.3">
      <c r="A5" t="s">
        <v>50</v>
      </c>
      <c r="B5" t="s">
        <v>25</v>
      </c>
      <c r="C5" t="s">
        <v>51</v>
      </c>
      <c r="D5" t="s">
        <v>52</v>
      </c>
      <c r="E5" t="s">
        <v>28</v>
      </c>
      <c r="F5">
        <v>1</v>
      </c>
      <c r="G5" t="s">
        <v>53</v>
      </c>
      <c r="H5" t="s">
        <v>54</v>
      </c>
      <c r="L5">
        <v>8642</v>
      </c>
      <c r="M5" t="s">
        <v>33</v>
      </c>
      <c r="N5" s="1">
        <v>45529</v>
      </c>
      <c r="O5" s="1">
        <v>45542</v>
      </c>
      <c r="P5" s="1">
        <v>45531</v>
      </c>
      <c r="Q5">
        <v>13</v>
      </c>
      <c r="R5">
        <v>2</v>
      </c>
      <c r="S5">
        <v>-11</v>
      </c>
      <c r="T5" t="s">
        <v>48</v>
      </c>
      <c r="U5" t="s">
        <v>49</v>
      </c>
      <c r="V5" t="s">
        <v>55</v>
      </c>
      <c r="W5" t="s">
        <v>56</v>
      </c>
      <c r="X5" t="s">
        <v>38</v>
      </c>
    </row>
    <row r="6" spans="1:24" x14ac:dyDescent="0.3">
      <c r="A6" t="s">
        <v>57</v>
      </c>
      <c r="B6" t="s">
        <v>25</v>
      </c>
      <c r="C6" t="s">
        <v>58</v>
      </c>
      <c r="D6" t="s">
        <v>27</v>
      </c>
      <c r="E6" t="s">
        <v>28</v>
      </c>
      <c r="F6">
        <v>1</v>
      </c>
      <c r="G6" t="s">
        <v>29</v>
      </c>
      <c r="H6" t="s">
        <v>46</v>
      </c>
      <c r="I6" t="s">
        <v>47</v>
      </c>
      <c r="J6">
        <v>120</v>
      </c>
      <c r="K6" t="s">
        <v>41</v>
      </c>
      <c r="L6">
        <v>7460</v>
      </c>
      <c r="M6" t="s">
        <v>33</v>
      </c>
      <c r="N6" s="1">
        <v>45548</v>
      </c>
      <c r="O6" s="1">
        <v>45561</v>
      </c>
      <c r="P6" s="1">
        <v>45568</v>
      </c>
      <c r="Q6">
        <v>13</v>
      </c>
      <c r="R6">
        <v>20</v>
      </c>
      <c r="S6">
        <v>7</v>
      </c>
      <c r="T6" t="s">
        <v>42</v>
      </c>
      <c r="U6" t="s">
        <v>35</v>
      </c>
      <c r="V6" t="s">
        <v>36</v>
      </c>
      <c r="W6" t="s">
        <v>37</v>
      </c>
      <c r="X6" t="s">
        <v>38</v>
      </c>
    </row>
    <row r="7" spans="1:24" x14ac:dyDescent="0.3">
      <c r="A7" t="s">
        <v>59</v>
      </c>
      <c r="B7" t="s">
        <v>60</v>
      </c>
      <c r="C7" t="s">
        <v>51</v>
      </c>
      <c r="D7" t="s">
        <v>51</v>
      </c>
      <c r="E7" t="s">
        <v>59</v>
      </c>
      <c r="F7">
        <v>1</v>
      </c>
      <c r="G7" t="s">
        <v>61</v>
      </c>
      <c r="H7" t="s">
        <v>29</v>
      </c>
      <c r="K7" t="s">
        <v>62</v>
      </c>
      <c r="L7">
        <v>14550</v>
      </c>
      <c r="M7" t="s">
        <v>33</v>
      </c>
      <c r="N7" s="1">
        <v>45518</v>
      </c>
      <c r="O7" s="1">
        <v>45538</v>
      </c>
      <c r="P7" s="1">
        <v>45540</v>
      </c>
      <c r="Q7">
        <v>20</v>
      </c>
      <c r="R7">
        <v>22</v>
      </c>
      <c r="S7">
        <v>2</v>
      </c>
      <c r="T7" t="s">
        <v>34</v>
      </c>
      <c r="U7" t="s">
        <v>35</v>
      </c>
      <c r="V7" t="s">
        <v>55</v>
      </c>
      <c r="W7" t="s">
        <v>56</v>
      </c>
      <c r="X7" t="s">
        <v>38</v>
      </c>
    </row>
    <row r="8" spans="1:24" x14ac:dyDescent="0.3">
      <c r="A8" t="s">
        <v>24</v>
      </c>
      <c r="B8" t="s">
        <v>25</v>
      </c>
      <c r="C8" t="s">
        <v>51</v>
      </c>
      <c r="D8" t="s">
        <v>51</v>
      </c>
      <c r="E8" t="s">
        <v>63</v>
      </c>
      <c r="F8">
        <v>1</v>
      </c>
      <c r="G8" t="s">
        <v>61</v>
      </c>
      <c r="H8" t="s">
        <v>29</v>
      </c>
      <c r="K8" t="s">
        <v>62</v>
      </c>
      <c r="L8">
        <v>12000</v>
      </c>
      <c r="M8" t="s">
        <v>64</v>
      </c>
      <c r="N8" s="1">
        <v>45521</v>
      </c>
      <c r="O8" s="1">
        <v>45524</v>
      </c>
      <c r="P8" s="1">
        <v>45523</v>
      </c>
      <c r="Q8">
        <v>3</v>
      </c>
      <c r="R8">
        <v>2</v>
      </c>
      <c r="S8">
        <v>-1</v>
      </c>
      <c r="T8" t="s">
        <v>48</v>
      </c>
      <c r="U8" t="s">
        <v>49</v>
      </c>
      <c r="V8" t="s">
        <v>55</v>
      </c>
      <c r="W8" t="s">
        <v>56</v>
      </c>
      <c r="X8" t="s">
        <v>38</v>
      </c>
    </row>
    <row r="9" spans="1:24" x14ac:dyDescent="0.3">
      <c r="A9" t="s">
        <v>65</v>
      </c>
      <c r="B9" t="s">
        <v>25</v>
      </c>
      <c r="C9" t="s">
        <v>66</v>
      </c>
      <c r="D9" t="s">
        <v>67</v>
      </c>
      <c r="E9" t="s">
        <v>28</v>
      </c>
      <c r="F9">
        <v>1</v>
      </c>
      <c r="G9" t="s">
        <v>29</v>
      </c>
      <c r="H9" t="s">
        <v>68</v>
      </c>
      <c r="I9" t="s">
        <v>31</v>
      </c>
      <c r="J9">
        <v>140</v>
      </c>
      <c r="K9" t="s">
        <v>69</v>
      </c>
      <c r="L9">
        <v>13099</v>
      </c>
      <c r="M9" t="s">
        <v>33</v>
      </c>
      <c r="N9" s="1">
        <v>45548</v>
      </c>
      <c r="O9" s="1">
        <v>45565</v>
      </c>
      <c r="P9" s="1">
        <v>45568</v>
      </c>
      <c r="Q9">
        <v>17</v>
      </c>
      <c r="R9">
        <v>20</v>
      </c>
      <c r="S9">
        <v>3</v>
      </c>
      <c r="T9" t="s">
        <v>34</v>
      </c>
      <c r="U9" t="s">
        <v>35</v>
      </c>
      <c r="V9" t="s">
        <v>55</v>
      </c>
      <c r="W9" t="s">
        <v>56</v>
      </c>
      <c r="X9" t="s">
        <v>38</v>
      </c>
    </row>
    <row r="10" spans="1:24" x14ac:dyDescent="0.3">
      <c r="A10" t="s">
        <v>70</v>
      </c>
      <c r="B10" t="s">
        <v>60</v>
      </c>
      <c r="C10" t="s">
        <v>71</v>
      </c>
      <c r="D10" t="s">
        <v>27</v>
      </c>
      <c r="E10" t="s">
        <v>72</v>
      </c>
      <c r="F10">
        <v>1</v>
      </c>
      <c r="G10" t="s">
        <v>73</v>
      </c>
      <c r="H10" t="s">
        <v>29</v>
      </c>
      <c r="L10">
        <v>22000</v>
      </c>
      <c r="M10" t="s">
        <v>64</v>
      </c>
      <c r="N10" s="1">
        <v>45523</v>
      </c>
      <c r="O10" s="1">
        <v>45536</v>
      </c>
      <c r="P10" s="1">
        <v>45552</v>
      </c>
      <c r="Q10">
        <v>13</v>
      </c>
      <c r="R10">
        <v>29</v>
      </c>
      <c r="S10">
        <v>16</v>
      </c>
      <c r="T10" t="s">
        <v>42</v>
      </c>
      <c r="U10" t="s">
        <v>35</v>
      </c>
      <c r="V10" t="s">
        <v>74</v>
      </c>
      <c r="W10" t="s">
        <v>74</v>
      </c>
      <c r="X10" t="s">
        <v>38</v>
      </c>
    </row>
    <row r="11" spans="1:24" x14ac:dyDescent="0.3">
      <c r="A11" t="s">
        <v>70</v>
      </c>
      <c r="B11" t="s">
        <v>60</v>
      </c>
      <c r="C11" t="s">
        <v>71</v>
      </c>
      <c r="D11" t="s">
        <v>27</v>
      </c>
      <c r="E11" t="s">
        <v>72</v>
      </c>
      <c r="F11">
        <v>2</v>
      </c>
      <c r="G11" t="s">
        <v>61</v>
      </c>
      <c r="H11" t="s">
        <v>75</v>
      </c>
      <c r="L11">
        <v>16000</v>
      </c>
      <c r="M11" t="s">
        <v>64</v>
      </c>
      <c r="N11" s="1"/>
      <c r="O11" s="1"/>
      <c r="P11" s="1"/>
      <c r="T11" t="s">
        <v>42</v>
      </c>
      <c r="U11" t="s">
        <v>35</v>
      </c>
      <c r="V11" t="s">
        <v>76</v>
      </c>
      <c r="W11" t="s">
        <v>37</v>
      </c>
      <c r="X11" t="s">
        <v>77</v>
      </c>
    </row>
    <row r="12" spans="1:24" x14ac:dyDescent="0.3">
      <c r="A12" t="s">
        <v>70</v>
      </c>
      <c r="B12" t="s">
        <v>60</v>
      </c>
      <c r="C12" t="s">
        <v>71</v>
      </c>
      <c r="D12" t="s">
        <v>27</v>
      </c>
      <c r="E12" t="s">
        <v>72</v>
      </c>
      <c r="F12">
        <v>2</v>
      </c>
      <c r="G12" t="s">
        <v>61</v>
      </c>
      <c r="H12" t="s">
        <v>75</v>
      </c>
      <c r="L12">
        <v>6000</v>
      </c>
      <c r="M12" t="s">
        <v>64</v>
      </c>
      <c r="N12" s="1">
        <v>45529</v>
      </c>
      <c r="O12" s="1">
        <v>45550</v>
      </c>
      <c r="P12" s="1">
        <v>45552</v>
      </c>
      <c r="Q12">
        <v>21</v>
      </c>
      <c r="R12">
        <v>23</v>
      </c>
      <c r="S12">
        <v>2</v>
      </c>
      <c r="T12" t="s">
        <v>34</v>
      </c>
      <c r="U12" t="s">
        <v>35</v>
      </c>
      <c r="V12" t="s">
        <v>36</v>
      </c>
      <c r="W12" t="s">
        <v>37</v>
      </c>
      <c r="X12" t="s">
        <v>38</v>
      </c>
    </row>
    <row r="13" spans="1:24" x14ac:dyDescent="0.3">
      <c r="A13" t="s">
        <v>78</v>
      </c>
      <c r="B13" t="s">
        <v>25</v>
      </c>
      <c r="C13" t="s">
        <v>79</v>
      </c>
      <c r="D13" t="s">
        <v>45</v>
      </c>
      <c r="E13" t="s">
        <v>63</v>
      </c>
      <c r="F13">
        <v>1</v>
      </c>
      <c r="G13" t="s">
        <v>29</v>
      </c>
      <c r="H13" t="s">
        <v>30</v>
      </c>
      <c r="J13">
        <v>100</v>
      </c>
      <c r="L13">
        <v>9450</v>
      </c>
      <c r="M13" t="s">
        <v>64</v>
      </c>
      <c r="N13" s="1">
        <v>45547</v>
      </c>
      <c r="O13" s="1">
        <v>45561</v>
      </c>
      <c r="P13" s="1"/>
      <c r="Q13">
        <v>14</v>
      </c>
      <c r="T13" t="s">
        <v>42</v>
      </c>
      <c r="U13" t="s">
        <v>35</v>
      </c>
      <c r="V13" t="s">
        <v>77</v>
      </c>
      <c r="W13" t="s">
        <v>37</v>
      </c>
      <c r="X13" t="s">
        <v>77</v>
      </c>
    </row>
    <row r="14" spans="1:24" x14ac:dyDescent="0.3">
      <c r="A14" t="s">
        <v>80</v>
      </c>
      <c r="B14" t="s">
        <v>25</v>
      </c>
      <c r="C14" t="s">
        <v>81</v>
      </c>
      <c r="D14" t="s">
        <v>82</v>
      </c>
      <c r="E14" t="s">
        <v>28</v>
      </c>
      <c r="F14">
        <v>1</v>
      </c>
      <c r="G14" t="s">
        <v>29</v>
      </c>
      <c r="H14" t="s">
        <v>68</v>
      </c>
      <c r="I14" t="s">
        <v>31</v>
      </c>
      <c r="J14">
        <v>90</v>
      </c>
      <c r="L14">
        <v>11455</v>
      </c>
      <c r="M14" t="s">
        <v>64</v>
      </c>
      <c r="N14" s="1">
        <v>45500</v>
      </c>
      <c r="O14" s="1"/>
      <c r="P14" s="1"/>
      <c r="T14" t="s">
        <v>42</v>
      </c>
      <c r="U14" t="s">
        <v>35</v>
      </c>
      <c r="V14" t="s">
        <v>76</v>
      </c>
      <c r="W14" t="s">
        <v>37</v>
      </c>
      <c r="X14" t="s">
        <v>77</v>
      </c>
    </row>
    <row r="15" spans="1:24" x14ac:dyDescent="0.3">
      <c r="A15" t="s">
        <v>83</v>
      </c>
      <c r="B15" t="s">
        <v>25</v>
      </c>
      <c r="C15" t="s">
        <v>84</v>
      </c>
      <c r="D15" t="s">
        <v>27</v>
      </c>
      <c r="E15" t="s">
        <v>28</v>
      </c>
      <c r="F15">
        <v>1</v>
      </c>
      <c r="G15" t="s">
        <v>53</v>
      </c>
      <c r="H15" t="s">
        <v>54</v>
      </c>
      <c r="L15">
        <v>7849</v>
      </c>
      <c r="M15" t="s">
        <v>33</v>
      </c>
      <c r="N15" s="1">
        <v>45539</v>
      </c>
      <c r="O15" s="1">
        <v>45551</v>
      </c>
      <c r="P15" s="1">
        <v>45560</v>
      </c>
      <c r="Q15">
        <v>12</v>
      </c>
      <c r="R15">
        <v>21</v>
      </c>
      <c r="S15">
        <v>9</v>
      </c>
      <c r="T15" t="s">
        <v>42</v>
      </c>
      <c r="U15" t="s">
        <v>35</v>
      </c>
      <c r="V15" t="s">
        <v>55</v>
      </c>
      <c r="W15" t="s">
        <v>56</v>
      </c>
      <c r="X15" t="s">
        <v>85</v>
      </c>
    </row>
    <row r="16" spans="1:24" x14ac:dyDescent="0.3">
      <c r="A16" t="s">
        <v>86</v>
      </c>
      <c r="B16" t="s">
        <v>25</v>
      </c>
      <c r="C16" t="s">
        <v>87</v>
      </c>
      <c r="D16" t="s">
        <v>27</v>
      </c>
      <c r="E16" t="s">
        <v>88</v>
      </c>
      <c r="F16">
        <v>2</v>
      </c>
      <c r="G16" t="s">
        <v>29</v>
      </c>
      <c r="H16" t="s">
        <v>68</v>
      </c>
      <c r="I16" t="s">
        <v>31</v>
      </c>
      <c r="J16">
        <v>120</v>
      </c>
      <c r="K16" t="s">
        <v>41</v>
      </c>
      <c r="L16">
        <v>9700</v>
      </c>
      <c r="M16" t="s">
        <v>64</v>
      </c>
      <c r="N16" s="1">
        <v>45538</v>
      </c>
      <c r="O16" s="1">
        <v>45551</v>
      </c>
      <c r="P16" s="1">
        <v>45550</v>
      </c>
      <c r="Q16">
        <v>13</v>
      </c>
      <c r="R16">
        <v>12</v>
      </c>
      <c r="S16">
        <v>-1</v>
      </c>
      <c r="T16" t="s">
        <v>48</v>
      </c>
      <c r="U16" t="s">
        <v>49</v>
      </c>
      <c r="V16" t="s">
        <v>36</v>
      </c>
      <c r="W16" t="s">
        <v>37</v>
      </c>
      <c r="X16" t="s">
        <v>38</v>
      </c>
    </row>
    <row r="17" spans="1:24" x14ac:dyDescent="0.3">
      <c r="A17" t="s">
        <v>59</v>
      </c>
      <c r="B17" t="s">
        <v>60</v>
      </c>
      <c r="C17" t="s">
        <v>51</v>
      </c>
      <c r="D17" t="s">
        <v>51</v>
      </c>
      <c r="E17" t="s">
        <v>59</v>
      </c>
      <c r="F17">
        <v>1</v>
      </c>
      <c r="G17" t="s">
        <v>29</v>
      </c>
      <c r="H17" t="s">
        <v>68</v>
      </c>
      <c r="I17" t="s">
        <v>89</v>
      </c>
      <c r="J17">
        <v>100</v>
      </c>
      <c r="L17">
        <v>9208</v>
      </c>
      <c r="M17" t="s">
        <v>64</v>
      </c>
      <c r="N17" s="1">
        <v>45536</v>
      </c>
      <c r="O17" s="1">
        <v>45554</v>
      </c>
      <c r="P17" s="1">
        <v>45556</v>
      </c>
      <c r="Q17">
        <v>18</v>
      </c>
      <c r="R17">
        <v>20</v>
      </c>
      <c r="S17">
        <v>2</v>
      </c>
      <c r="T17" t="s">
        <v>34</v>
      </c>
      <c r="U17" t="s">
        <v>35</v>
      </c>
      <c r="V17" t="s">
        <v>36</v>
      </c>
      <c r="W17" t="s">
        <v>37</v>
      </c>
      <c r="X17" t="s">
        <v>38</v>
      </c>
    </row>
    <row r="18" spans="1:24" x14ac:dyDescent="0.3">
      <c r="A18" t="s">
        <v>24</v>
      </c>
      <c r="B18" t="s">
        <v>25</v>
      </c>
      <c r="C18" t="s">
        <v>58</v>
      </c>
      <c r="D18" t="s">
        <v>27</v>
      </c>
      <c r="E18" t="s">
        <v>28</v>
      </c>
      <c r="F18">
        <v>4</v>
      </c>
      <c r="G18" t="s">
        <v>29</v>
      </c>
      <c r="H18" t="s">
        <v>46</v>
      </c>
      <c r="I18" t="s">
        <v>90</v>
      </c>
      <c r="J18">
        <v>80</v>
      </c>
      <c r="K18" t="s">
        <v>32</v>
      </c>
      <c r="L18">
        <v>7987</v>
      </c>
      <c r="M18" t="s">
        <v>33</v>
      </c>
      <c r="N18" s="1">
        <v>45541</v>
      </c>
      <c r="O18" s="1">
        <v>45551</v>
      </c>
      <c r="P18" s="1">
        <v>45556</v>
      </c>
      <c r="Q18">
        <v>10</v>
      </c>
      <c r="R18">
        <v>15</v>
      </c>
      <c r="S18">
        <v>5</v>
      </c>
      <c r="T18" t="s">
        <v>42</v>
      </c>
      <c r="U18" t="s">
        <v>35</v>
      </c>
      <c r="V18" t="s">
        <v>36</v>
      </c>
      <c r="W18" t="s">
        <v>37</v>
      </c>
      <c r="X18" t="s">
        <v>38</v>
      </c>
    </row>
    <row r="19" spans="1:24" x14ac:dyDescent="0.3">
      <c r="A19" t="s">
        <v>72</v>
      </c>
      <c r="B19" t="s">
        <v>60</v>
      </c>
      <c r="C19" t="s">
        <v>71</v>
      </c>
      <c r="D19" t="s">
        <v>27</v>
      </c>
      <c r="E19" t="s">
        <v>72</v>
      </c>
      <c r="F19">
        <v>2</v>
      </c>
      <c r="G19" t="s">
        <v>91</v>
      </c>
      <c r="I19" t="s">
        <v>92</v>
      </c>
      <c r="L19">
        <v>9300</v>
      </c>
      <c r="M19" t="s">
        <v>64</v>
      </c>
      <c r="N19" s="1">
        <v>45539</v>
      </c>
      <c r="O19" s="1">
        <v>45550</v>
      </c>
      <c r="P19" s="1">
        <v>45552</v>
      </c>
      <c r="Q19">
        <v>11</v>
      </c>
      <c r="R19">
        <v>13</v>
      </c>
      <c r="S19">
        <v>2</v>
      </c>
      <c r="T19" t="s">
        <v>34</v>
      </c>
      <c r="U19" t="s">
        <v>35</v>
      </c>
      <c r="V19" t="s">
        <v>36</v>
      </c>
      <c r="W19" t="s">
        <v>37</v>
      </c>
      <c r="X19" t="s">
        <v>38</v>
      </c>
    </row>
    <row r="20" spans="1:24" x14ac:dyDescent="0.3">
      <c r="A20" t="s">
        <v>24</v>
      </c>
      <c r="B20" t="s">
        <v>25</v>
      </c>
      <c r="C20" t="s">
        <v>58</v>
      </c>
      <c r="D20" t="s">
        <v>27</v>
      </c>
      <c r="E20" t="s">
        <v>28</v>
      </c>
      <c r="F20">
        <v>4</v>
      </c>
      <c r="G20" t="s">
        <v>29</v>
      </c>
      <c r="H20" t="s">
        <v>46</v>
      </c>
      <c r="I20" t="s">
        <v>90</v>
      </c>
      <c r="J20">
        <v>80</v>
      </c>
      <c r="K20" t="s">
        <v>32</v>
      </c>
      <c r="L20">
        <v>7987</v>
      </c>
      <c r="M20" t="s">
        <v>33</v>
      </c>
      <c r="N20" s="1">
        <v>45541</v>
      </c>
      <c r="O20" s="1">
        <v>45551</v>
      </c>
      <c r="P20" s="1">
        <v>45556</v>
      </c>
      <c r="Q20">
        <v>10</v>
      </c>
      <c r="R20">
        <v>15</v>
      </c>
      <c r="S20">
        <v>5</v>
      </c>
      <c r="T20" t="s">
        <v>42</v>
      </c>
      <c r="U20" t="s">
        <v>35</v>
      </c>
      <c r="V20" t="s">
        <v>36</v>
      </c>
      <c r="W20" t="s">
        <v>37</v>
      </c>
      <c r="X20" t="s">
        <v>38</v>
      </c>
    </row>
    <row r="21" spans="1:24" x14ac:dyDescent="0.3">
      <c r="A21" t="s">
        <v>24</v>
      </c>
      <c r="B21" t="s">
        <v>25</v>
      </c>
      <c r="C21" t="s">
        <v>58</v>
      </c>
      <c r="D21" t="s">
        <v>27</v>
      </c>
      <c r="E21" t="s">
        <v>28</v>
      </c>
      <c r="F21">
        <v>4</v>
      </c>
      <c r="G21" t="s">
        <v>29</v>
      </c>
      <c r="H21" t="s">
        <v>46</v>
      </c>
      <c r="I21" t="s">
        <v>90</v>
      </c>
      <c r="J21">
        <v>80</v>
      </c>
      <c r="K21" t="s">
        <v>32</v>
      </c>
      <c r="L21">
        <v>7987</v>
      </c>
      <c r="M21" t="s">
        <v>33</v>
      </c>
      <c r="N21" s="1">
        <v>45541</v>
      </c>
      <c r="O21" s="1">
        <v>45551</v>
      </c>
      <c r="P21" s="1">
        <v>45556</v>
      </c>
      <c r="Q21">
        <v>10</v>
      </c>
      <c r="R21">
        <v>15</v>
      </c>
      <c r="S21">
        <v>5</v>
      </c>
      <c r="T21" t="s">
        <v>42</v>
      </c>
      <c r="U21" t="s">
        <v>35</v>
      </c>
      <c r="V21" t="s">
        <v>36</v>
      </c>
      <c r="W21" t="s">
        <v>37</v>
      </c>
      <c r="X21" t="s">
        <v>38</v>
      </c>
    </row>
    <row r="22" spans="1:24" x14ac:dyDescent="0.3">
      <c r="A22" t="s">
        <v>24</v>
      </c>
      <c r="B22" t="s">
        <v>25</v>
      </c>
      <c r="C22" t="s">
        <v>58</v>
      </c>
      <c r="D22" t="s">
        <v>27</v>
      </c>
      <c r="E22" t="s">
        <v>28</v>
      </c>
      <c r="F22">
        <v>4</v>
      </c>
      <c r="G22" t="s">
        <v>29</v>
      </c>
      <c r="H22" t="s">
        <v>46</v>
      </c>
      <c r="I22" t="s">
        <v>90</v>
      </c>
      <c r="J22">
        <v>80</v>
      </c>
      <c r="K22" t="s">
        <v>32</v>
      </c>
      <c r="L22">
        <v>7987</v>
      </c>
      <c r="M22" t="s">
        <v>33</v>
      </c>
      <c r="N22" s="1">
        <v>45541</v>
      </c>
      <c r="O22" s="1">
        <v>45551</v>
      </c>
      <c r="P22" s="1">
        <v>45556</v>
      </c>
      <c r="Q22">
        <v>10</v>
      </c>
      <c r="R22">
        <v>15</v>
      </c>
      <c r="S22">
        <v>5</v>
      </c>
      <c r="T22" t="s">
        <v>42</v>
      </c>
      <c r="U22" t="s">
        <v>35</v>
      </c>
      <c r="V22" t="s">
        <v>36</v>
      </c>
      <c r="W22" t="s">
        <v>37</v>
      </c>
      <c r="X22" t="s">
        <v>38</v>
      </c>
    </row>
    <row r="23" spans="1:24" x14ac:dyDescent="0.3">
      <c r="A23" t="s">
        <v>93</v>
      </c>
      <c r="B23" t="s">
        <v>25</v>
      </c>
      <c r="C23" t="s">
        <v>40</v>
      </c>
      <c r="D23" t="s">
        <v>27</v>
      </c>
      <c r="E23" t="s">
        <v>28</v>
      </c>
      <c r="F23">
        <v>1</v>
      </c>
      <c r="G23" t="s">
        <v>53</v>
      </c>
      <c r="H23" t="s">
        <v>54</v>
      </c>
      <c r="L23">
        <v>8849</v>
      </c>
      <c r="M23" t="s">
        <v>33</v>
      </c>
      <c r="N23" s="1">
        <v>45538</v>
      </c>
      <c r="O23" s="1">
        <v>45581</v>
      </c>
      <c r="P23" s="1"/>
      <c r="Q23">
        <v>43</v>
      </c>
      <c r="T23" t="s">
        <v>42</v>
      </c>
      <c r="U23" t="s">
        <v>35</v>
      </c>
      <c r="V23" t="s">
        <v>77</v>
      </c>
      <c r="W23" t="s">
        <v>37</v>
      </c>
      <c r="X23" t="s">
        <v>77</v>
      </c>
    </row>
    <row r="24" spans="1:24" x14ac:dyDescent="0.3">
      <c r="A24" t="s">
        <v>94</v>
      </c>
      <c r="B24" t="s">
        <v>60</v>
      </c>
      <c r="C24" t="s">
        <v>95</v>
      </c>
      <c r="D24" t="s">
        <v>27</v>
      </c>
      <c r="E24" t="s">
        <v>28</v>
      </c>
      <c r="F24">
        <v>1</v>
      </c>
      <c r="G24" t="s">
        <v>29</v>
      </c>
      <c r="H24" t="s">
        <v>68</v>
      </c>
      <c r="I24" t="s">
        <v>89</v>
      </c>
      <c r="J24">
        <v>80</v>
      </c>
      <c r="L24">
        <v>11199</v>
      </c>
      <c r="M24" t="s">
        <v>64</v>
      </c>
      <c r="N24" s="1">
        <v>45539</v>
      </c>
      <c r="O24" s="1">
        <v>45553</v>
      </c>
      <c r="P24" s="1"/>
      <c r="Q24">
        <v>14</v>
      </c>
      <c r="T24" t="s">
        <v>42</v>
      </c>
      <c r="U24" t="s">
        <v>35</v>
      </c>
      <c r="V24" t="s">
        <v>77</v>
      </c>
      <c r="W24" t="s">
        <v>37</v>
      </c>
      <c r="X24" t="s">
        <v>77</v>
      </c>
    </row>
    <row r="25" spans="1:24" x14ac:dyDescent="0.3">
      <c r="A25" t="s">
        <v>59</v>
      </c>
      <c r="B25" t="s">
        <v>60</v>
      </c>
      <c r="C25" t="s">
        <v>51</v>
      </c>
      <c r="D25" t="s">
        <v>51</v>
      </c>
      <c r="E25" t="s">
        <v>59</v>
      </c>
      <c r="F25">
        <v>1</v>
      </c>
      <c r="G25" t="s">
        <v>29</v>
      </c>
      <c r="H25" t="s">
        <v>68</v>
      </c>
      <c r="I25" t="s">
        <v>89</v>
      </c>
      <c r="J25">
        <v>100</v>
      </c>
      <c r="L25">
        <v>9208</v>
      </c>
      <c r="M25" t="s">
        <v>64</v>
      </c>
      <c r="N25" s="1">
        <v>45536</v>
      </c>
      <c r="O25" s="1">
        <v>45554</v>
      </c>
      <c r="P25" s="1">
        <v>45556</v>
      </c>
      <c r="Q25">
        <v>18</v>
      </c>
      <c r="R25">
        <v>20</v>
      </c>
      <c r="S25">
        <v>2</v>
      </c>
      <c r="T25" t="s">
        <v>34</v>
      </c>
      <c r="U25" t="s">
        <v>35</v>
      </c>
      <c r="V25" t="s">
        <v>36</v>
      </c>
      <c r="W25" t="s">
        <v>37</v>
      </c>
      <c r="X25" t="s">
        <v>38</v>
      </c>
    </row>
    <row r="26" spans="1:24" x14ac:dyDescent="0.3">
      <c r="A26" t="s">
        <v>96</v>
      </c>
      <c r="B26" t="s">
        <v>25</v>
      </c>
      <c r="C26" t="s">
        <v>81</v>
      </c>
      <c r="D26" t="s">
        <v>82</v>
      </c>
      <c r="E26" t="s">
        <v>28</v>
      </c>
      <c r="F26">
        <v>1</v>
      </c>
      <c r="G26" t="s">
        <v>29</v>
      </c>
      <c r="H26" t="s">
        <v>68</v>
      </c>
      <c r="I26" t="s">
        <v>97</v>
      </c>
      <c r="J26">
        <v>100</v>
      </c>
      <c r="L26">
        <v>12833</v>
      </c>
      <c r="M26" t="s">
        <v>64</v>
      </c>
      <c r="N26" s="1">
        <v>45520</v>
      </c>
      <c r="O26" s="1">
        <v>45535</v>
      </c>
      <c r="P26" s="1"/>
      <c r="Q26">
        <v>15</v>
      </c>
      <c r="T26" t="s">
        <v>42</v>
      </c>
      <c r="U26" t="s">
        <v>35</v>
      </c>
      <c r="V26" t="s">
        <v>76</v>
      </c>
      <c r="W26" t="s">
        <v>37</v>
      </c>
      <c r="X26" t="s">
        <v>77</v>
      </c>
    </row>
    <row r="27" spans="1:24" x14ac:dyDescent="0.3">
      <c r="A27" t="s">
        <v>98</v>
      </c>
      <c r="B27" t="s">
        <v>60</v>
      </c>
      <c r="C27" t="s">
        <v>99</v>
      </c>
      <c r="D27" t="s">
        <v>100</v>
      </c>
      <c r="E27" t="s">
        <v>88</v>
      </c>
      <c r="F27">
        <v>2</v>
      </c>
      <c r="G27" t="s">
        <v>29</v>
      </c>
      <c r="H27" t="s">
        <v>46</v>
      </c>
      <c r="I27" t="s">
        <v>90</v>
      </c>
      <c r="J27">
        <v>120</v>
      </c>
      <c r="K27" t="s">
        <v>32</v>
      </c>
      <c r="L27">
        <v>4020</v>
      </c>
      <c r="M27" t="s">
        <v>101</v>
      </c>
      <c r="N27" s="1">
        <v>45547</v>
      </c>
      <c r="O27" s="1">
        <v>45556</v>
      </c>
      <c r="P27" s="1">
        <v>45557</v>
      </c>
      <c r="Q27">
        <v>9</v>
      </c>
      <c r="R27">
        <v>10</v>
      </c>
      <c r="S27">
        <v>1</v>
      </c>
      <c r="T27" t="s">
        <v>34</v>
      </c>
      <c r="U27" t="s">
        <v>35</v>
      </c>
      <c r="V27" t="s">
        <v>36</v>
      </c>
      <c r="W27" t="s">
        <v>37</v>
      </c>
      <c r="X27" t="s">
        <v>38</v>
      </c>
    </row>
    <row r="28" spans="1:24" x14ac:dyDescent="0.3">
      <c r="A28" t="s">
        <v>98</v>
      </c>
      <c r="B28" t="s">
        <v>60</v>
      </c>
      <c r="C28" t="s">
        <v>99</v>
      </c>
      <c r="D28" t="s">
        <v>100</v>
      </c>
      <c r="E28" t="s">
        <v>88</v>
      </c>
      <c r="F28">
        <v>2</v>
      </c>
      <c r="G28" t="s">
        <v>29</v>
      </c>
      <c r="H28" t="s">
        <v>46</v>
      </c>
      <c r="I28" t="s">
        <v>102</v>
      </c>
      <c r="J28">
        <v>120</v>
      </c>
      <c r="K28" t="s">
        <v>41</v>
      </c>
      <c r="L28">
        <v>4020</v>
      </c>
      <c r="M28" t="s">
        <v>33</v>
      </c>
      <c r="N28" s="1">
        <v>45547</v>
      </c>
      <c r="O28" s="1">
        <v>45556</v>
      </c>
      <c r="P28" s="1">
        <v>45557</v>
      </c>
      <c r="Q28">
        <v>9</v>
      </c>
      <c r="R28">
        <v>10</v>
      </c>
      <c r="S28">
        <v>1</v>
      </c>
      <c r="T28" t="s">
        <v>34</v>
      </c>
      <c r="U28" t="s">
        <v>35</v>
      </c>
      <c r="V28" t="s">
        <v>36</v>
      </c>
      <c r="W28" t="s">
        <v>37</v>
      </c>
      <c r="X28" t="s">
        <v>38</v>
      </c>
    </row>
    <row r="29" spans="1:24" x14ac:dyDescent="0.3">
      <c r="A29" t="s">
        <v>103</v>
      </c>
      <c r="B29" t="s">
        <v>25</v>
      </c>
      <c r="C29" t="s">
        <v>104</v>
      </c>
      <c r="D29" t="s">
        <v>27</v>
      </c>
      <c r="E29" t="s">
        <v>28</v>
      </c>
      <c r="F29">
        <v>1</v>
      </c>
      <c r="G29" t="s">
        <v>29</v>
      </c>
      <c r="H29" t="s">
        <v>68</v>
      </c>
      <c r="I29" t="s">
        <v>97</v>
      </c>
      <c r="J29">
        <v>80</v>
      </c>
      <c r="L29">
        <v>10499</v>
      </c>
      <c r="M29" t="s">
        <v>64</v>
      </c>
      <c r="N29" s="1">
        <v>45536</v>
      </c>
      <c r="O29" s="1">
        <v>45551</v>
      </c>
      <c r="P29" s="1">
        <v>45543</v>
      </c>
      <c r="Q29">
        <v>15</v>
      </c>
      <c r="R29">
        <v>7</v>
      </c>
      <c r="S29">
        <v>-8</v>
      </c>
      <c r="T29" t="s">
        <v>48</v>
      </c>
      <c r="U29" t="s">
        <v>49</v>
      </c>
      <c r="V29" t="s">
        <v>55</v>
      </c>
      <c r="W29" t="s">
        <v>56</v>
      </c>
      <c r="X29" t="s">
        <v>38</v>
      </c>
    </row>
    <row r="30" spans="1:24" x14ac:dyDescent="0.3">
      <c r="A30" t="s">
        <v>105</v>
      </c>
      <c r="B30" t="s">
        <v>25</v>
      </c>
      <c r="C30" t="s">
        <v>106</v>
      </c>
      <c r="D30" t="s">
        <v>107</v>
      </c>
      <c r="E30" t="s">
        <v>28</v>
      </c>
      <c r="F30">
        <v>1</v>
      </c>
      <c r="G30" t="s">
        <v>53</v>
      </c>
      <c r="H30" t="s">
        <v>54</v>
      </c>
      <c r="L30">
        <v>8349</v>
      </c>
      <c r="M30" t="s">
        <v>33</v>
      </c>
      <c r="N30" s="1">
        <v>45549</v>
      </c>
      <c r="O30" s="1">
        <v>45557</v>
      </c>
      <c r="P30" s="1">
        <v>45559</v>
      </c>
      <c r="Q30">
        <v>8</v>
      </c>
      <c r="R30">
        <v>10</v>
      </c>
      <c r="S30">
        <v>2</v>
      </c>
      <c r="T30" t="s">
        <v>34</v>
      </c>
      <c r="U30" t="s">
        <v>35</v>
      </c>
      <c r="V30" t="s">
        <v>55</v>
      </c>
      <c r="W30" t="s">
        <v>56</v>
      </c>
      <c r="X30" t="s">
        <v>38</v>
      </c>
    </row>
    <row r="31" spans="1:24" x14ac:dyDescent="0.3">
      <c r="A31" t="s">
        <v>108</v>
      </c>
      <c r="B31" t="s">
        <v>25</v>
      </c>
      <c r="C31" t="s">
        <v>51</v>
      </c>
      <c r="D31" t="s">
        <v>51</v>
      </c>
      <c r="E31" t="s">
        <v>28</v>
      </c>
      <c r="F31">
        <v>1</v>
      </c>
      <c r="G31" t="s">
        <v>29</v>
      </c>
      <c r="H31" t="s">
        <v>46</v>
      </c>
      <c r="L31">
        <v>7228</v>
      </c>
      <c r="M31" t="s">
        <v>33</v>
      </c>
      <c r="N31" s="1">
        <v>45529</v>
      </c>
      <c r="O31" s="1">
        <v>45538</v>
      </c>
      <c r="P31" s="1">
        <v>45545</v>
      </c>
      <c r="Q31">
        <v>9</v>
      </c>
      <c r="R31">
        <v>16</v>
      </c>
      <c r="S31">
        <v>7</v>
      </c>
      <c r="T31" t="s">
        <v>42</v>
      </c>
      <c r="U31" t="s">
        <v>35</v>
      </c>
      <c r="V31" t="s">
        <v>55</v>
      </c>
      <c r="W31" t="s">
        <v>56</v>
      </c>
      <c r="X31" t="s">
        <v>38</v>
      </c>
    </row>
    <row r="32" spans="1:24" x14ac:dyDescent="0.3">
      <c r="A32" t="s">
        <v>109</v>
      </c>
      <c r="B32" t="s">
        <v>25</v>
      </c>
      <c r="C32" t="s">
        <v>110</v>
      </c>
      <c r="D32" t="s">
        <v>27</v>
      </c>
      <c r="E32" t="s">
        <v>28</v>
      </c>
      <c r="F32">
        <v>1</v>
      </c>
      <c r="G32" t="s">
        <v>53</v>
      </c>
      <c r="H32" t="s">
        <v>54</v>
      </c>
      <c r="L32">
        <v>7928</v>
      </c>
      <c r="M32" t="s">
        <v>64</v>
      </c>
      <c r="N32" s="1">
        <v>45547</v>
      </c>
      <c r="O32" s="1">
        <v>45561</v>
      </c>
      <c r="P32" s="1"/>
      <c r="Q32">
        <v>14</v>
      </c>
      <c r="T32" t="s">
        <v>42</v>
      </c>
      <c r="U32" t="s">
        <v>35</v>
      </c>
      <c r="V32" t="s">
        <v>55</v>
      </c>
      <c r="W32" t="s">
        <v>56</v>
      </c>
      <c r="X32" t="s">
        <v>38</v>
      </c>
    </row>
    <row r="33" spans="1:24" x14ac:dyDescent="0.3">
      <c r="A33" t="s">
        <v>111</v>
      </c>
      <c r="B33" t="s">
        <v>25</v>
      </c>
      <c r="C33" t="s">
        <v>112</v>
      </c>
      <c r="D33" t="s">
        <v>45</v>
      </c>
      <c r="E33" t="s">
        <v>28</v>
      </c>
      <c r="F33">
        <v>1</v>
      </c>
      <c r="G33" t="s">
        <v>29</v>
      </c>
      <c r="H33" t="s">
        <v>46</v>
      </c>
      <c r="I33" t="s">
        <v>47</v>
      </c>
      <c r="J33">
        <v>120</v>
      </c>
      <c r="L33">
        <v>10987</v>
      </c>
      <c r="M33" t="s">
        <v>33</v>
      </c>
      <c r="N33" s="1">
        <v>45544</v>
      </c>
      <c r="O33" s="1">
        <v>45552</v>
      </c>
      <c r="P33" s="1">
        <v>45556</v>
      </c>
      <c r="Q33">
        <v>8</v>
      </c>
      <c r="R33">
        <v>12</v>
      </c>
      <c r="S33">
        <v>4</v>
      </c>
      <c r="T33" t="s">
        <v>42</v>
      </c>
      <c r="U33" t="s">
        <v>35</v>
      </c>
      <c r="V33" t="s">
        <v>36</v>
      </c>
      <c r="W33" t="s">
        <v>37</v>
      </c>
      <c r="X33" t="s">
        <v>38</v>
      </c>
    </row>
    <row r="34" spans="1:24" x14ac:dyDescent="0.3">
      <c r="A34" t="s">
        <v>113</v>
      </c>
      <c r="B34" t="s">
        <v>25</v>
      </c>
      <c r="C34" t="s">
        <v>112</v>
      </c>
      <c r="D34" t="s">
        <v>45</v>
      </c>
      <c r="E34" t="s">
        <v>28</v>
      </c>
      <c r="F34">
        <v>1</v>
      </c>
      <c r="G34" t="s">
        <v>29</v>
      </c>
      <c r="H34" t="s">
        <v>46</v>
      </c>
      <c r="I34" t="s">
        <v>97</v>
      </c>
      <c r="J34">
        <v>80</v>
      </c>
      <c r="K34" t="s">
        <v>32</v>
      </c>
      <c r="L34">
        <v>7295</v>
      </c>
      <c r="M34" t="s">
        <v>64</v>
      </c>
      <c r="N34" s="1">
        <v>45540</v>
      </c>
      <c r="O34" s="1">
        <v>45549</v>
      </c>
      <c r="P34" s="1"/>
      <c r="Q34">
        <v>9</v>
      </c>
      <c r="T34" t="s">
        <v>42</v>
      </c>
      <c r="U34" t="s">
        <v>35</v>
      </c>
      <c r="V34" t="s">
        <v>77</v>
      </c>
      <c r="W34" t="s">
        <v>37</v>
      </c>
      <c r="X34" t="s">
        <v>77</v>
      </c>
    </row>
    <row r="35" spans="1:24" x14ac:dyDescent="0.3">
      <c r="A35" t="s">
        <v>114</v>
      </c>
      <c r="B35" t="s">
        <v>25</v>
      </c>
      <c r="C35" t="s">
        <v>58</v>
      </c>
      <c r="D35" t="s">
        <v>27</v>
      </c>
      <c r="E35" t="s">
        <v>28</v>
      </c>
      <c r="F35">
        <v>1</v>
      </c>
      <c r="G35" t="s">
        <v>29</v>
      </c>
      <c r="H35" t="s">
        <v>46</v>
      </c>
      <c r="I35" t="s">
        <v>115</v>
      </c>
      <c r="J35">
        <v>140</v>
      </c>
      <c r="K35" t="s">
        <v>116</v>
      </c>
      <c r="L35">
        <v>9528</v>
      </c>
      <c r="M35" t="s">
        <v>33</v>
      </c>
      <c r="N35" s="1">
        <v>45548</v>
      </c>
      <c r="O35" s="1">
        <v>45561</v>
      </c>
      <c r="P35" s="1">
        <v>45568</v>
      </c>
      <c r="Q35">
        <v>13</v>
      </c>
      <c r="R35">
        <v>20</v>
      </c>
      <c r="S35">
        <v>7</v>
      </c>
      <c r="T35" t="s">
        <v>42</v>
      </c>
      <c r="U35" t="s">
        <v>35</v>
      </c>
      <c r="V35" t="s">
        <v>36</v>
      </c>
      <c r="W35" t="s">
        <v>37</v>
      </c>
      <c r="X35" t="s">
        <v>38</v>
      </c>
    </row>
    <row r="36" spans="1:24" x14ac:dyDescent="0.3">
      <c r="A36" t="s">
        <v>117</v>
      </c>
      <c r="B36" t="s">
        <v>25</v>
      </c>
      <c r="C36" t="s">
        <v>112</v>
      </c>
      <c r="D36" t="s">
        <v>45</v>
      </c>
      <c r="E36" t="s">
        <v>28</v>
      </c>
      <c r="F36">
        <v>1</v>
      </c>
      <c r="G36" t="s">
        <v>29</v>
      </c>
      <c r="H36" t="s">
        <v>68</v>
      </c>
      <c r="I36" t="s">
        <v>31</v>
      </c>
      <c r="J36">
        <v>120</v>
      </c>
      <c r="K36" t="s">
        <v>62</v>
      </c>
      <c r="L36">
        <v>12999</v>
      </c>
      <c r="M36" t="s">
        <v>33</v>
      </c>
      <c r="N36" s="1">
        <v>45549</v>
      </c>
      <c r="O36" s="1">
        <v>45562</v>
      </c>
      <c r="P36" s="1">
        <v>45567</v>
      </c>
      <c r="Q36">
        <v>13</v>
      </c>
      <c r="R36">
        <v>18</v>
      </c>
      <c r="S36">
        <v>5</v>
      </c>
      <c r="T36" t="s">
        <v>42</v>
      </c>
      <c r="U36" t="s">
        <v>35</v>
      </c>
      <c r="V36" t="s">
        <v>36</v>
      </c>
      <c r="W36" t="s">
        <v>37</v>
      </c>
      <c r="X36" t="s">
        <v>38</v>
      </c>
    </row>
    <row r="37" spans="1:24" x14ac:dyDescent="0.3">
      <c r="A37" t="s">
        <v>118</v>
      </c>
      <c r="B37" t="s">
        <v>25</v>
      </c>
      <c r="C37" t="s">
        <v>51</v>
      </c>
      <c r="D37" t="s">
        <v>119</v>
      </c>
      <c r="E37" t="s">
        <v>28</v>
      </c>
      <c r="F37">
        <v>1</v>
      </c>
      <c r="G37" t="s">
        <v>29</v>
      </c>
      <c r="H37" t="s">
        <v>68</v>
      </c>
      <c r="I37" t="s">
        <v>31</v>
      </c>
      <c r="J37">
        <v>120</v>
      </c>
      <c r="K37" t="s">
        <v>62</v>
      </c>
      <c r="L37">
        <v>12999</v>
      </c>
      <c r="M37" t="s">
        <v>33</v>
      </c>
      <c r="N37" s="1">
        <v>45549</v>
      </c>
      <c r="O37" s="1">
        <v>45616</v>
      </c>
      <c r="P37" s="1">
        <v>45582</v>
      </c>
      <c r="Q37">
        <v>67</v>
      </c>
      <c r="R37">
        <v>33</v>
      </c>
      <c r="S37">
        <v>-34</v>
      </c>
      <c r="T37" t="s">
        <v>48</v>
      </c>
      <c r="U37" t="s">
        <v>49</v>
      </c>
      <c r="V37" t="s">
        <v>55</v>
      </c>
      <c r="W37" t="s">
        <v>56</v>
      </c>
      <c r="X37" t="s">
        <v>38</v>
      </c>
    </row>
    <row r="38" spans="1:24" x14ac:dyDescent="0.3">
      <c r="A38" t="s">
        <v>120</v>
      </c>
      <c r="B38" t="s">
        <v>25</v>
      </c>
      <c r="C38" t="s">
        <v>121</v>
      </c>
      <c r="D38" t="s">
        <v>45</v>
      </c>
      <c r="E38" t="s">
        <v>28</v>
      </c>
      <c r="F38">
        <v>2</v>
      </c>
      <c r="G38" t="s">
        <v>29</v>
      </c>
      <c r="H38" t="s">
        <v>68</v>
      </c>
      <c r="I38" t="s">
        <v>31</v>
      </c>
      <c r="J38">
        <v>100</v>
      </c>
      <c r="K38" t="s">
        <v>41</v>
      </c>
      <c r="L38">
        <v>11949</v>
      </c>
      <c r="M38" t="s">
        <v>64</v>
      </c>
      <c r="N38" s="1">
        <v>45547</v>
      </c>
      <c r="O38" s="1">
        <v>45564</v>
      </c>
      <c r="P38" s="1">
        <v>45567</v>
      </c>
      <c r="Q38">
        <v>17</v>
      </c>
      <c r="R38">
        <v>20</v>
      </c>
      <c r="S38">
        <v>3</v>
      </c>
      <c r="T38" t="s">
        <v>34</v>
      </c>
      <c r="U38" t="s">
        <v>35</v>
      </c>
      <c r="V38" t="s">
        <v>36</v>
      </c>
      <c r="W38" t="s">
        <v>37</v>
      </c>
      <c r="X38" t="s">
        <v>38</v>
      </c>
    </row>
    <row r="39" spans="1:24" x14ac:dyDescent="0.3">
      <c r="A39" t="s">
        <v>120</v>
      </c>
      <c r="B39" t="s">
        <v>25</v>
      </c>
      <c r="C39" t="s">
        <v>121</v>
      </c>
      <c r="D39" t="s">
        <v>45</v>
      </c>
      <c r="E39" t="s">
        <v>28</v>
      </c>
      <c r="F39">
        <v>2</v>
      </c>
      <c r="G39" t="s">
        <v>29</v>
      </c>
      <c r="H39" t="s">
        <v>68</v>
      </c>
      <c r="I39" t="s">
        <v>31</v>
      </c>
      <c r="J39">
        <v>100</v>
      </c>
      <c r="K39" t="s">
        <v>41</v>
      </c>
      <c r="L39">
        <v>11949</v>
      </c>
      <c r="M39" t="s">
        <v>64</v>
      </c>
      <c r="N39" s="1">
        <v>45547</v>
      </c>
      <c r="O39" s="1">
        <v>45564</v>
      </c>
      <c r="P39" s="1">
        <v>45567</v>
      </c>
      <c r="Q39">
        <v>17</v>
      </c>
      <c r="R39">
        <v>20</v>
      </c>
      <c r="S39">
        <v>3</v>
      </c>
      <c r="T39" t="s">
        <v>34</v>
      </c>
      <c r="U39" t="s">
        <v>35</v>
      </c>
      <c r="V39" t="s">
        <v>36</v>
      </c>
      <c r="W39" t="s">
        <v>37</v>
      </c>
      <c r="X39" t="s">
        <v>38</v>
      </c>
    </row>
    <row r="40" spans="1:24" x14ac:dyDescent="0.3">
      <c r="A40" t="s">
        <v>122</v>
      </c>
      <c r="B40" t="s">
        <v>25</v>
      </c>
      <c r="C40" t="s">
        <v>51</v>
      </c>
      <c r="D40" t="s">
        <v>52</v>
      </c>
      <c r="E40" t="s">
        <v>28</v>
      </c>
      <c r="F40">
        <v>1</v>
      </c>
      <c r="G40" t="s">
        <v>29</v>
      </c>
      <c r="H40" t="s">
        <v>68</v>
      </c>
      <c r="I40" t="s">
        <v>31</v>
      </c>
      <c r="J40">
        <v>80</v>
      </c>
      <c r="K40" t="s">
        <v>32</v>
      </c>
      <c r="L40">
        <v>10999</v>
      </c>
      <c r="M40" t="s">
        <v>33</v>
      </c>
      <c r="N40" s="1">
        <v>45548</v>
      </c>
      <c r="O40" s="1">
        <v>45565</v>
      </c>
      <c r="P40" s="1">
        <v>45581</v>
      </c>
      <c r="Q40">
        <v>17</v>
      </c>
      <c r="R40">
        <v>33</v>
      </c>
      <c r="S40">
        <v>16</v>
      </c>
      <c r="T40" t="s">
        <v>42</v>
      </c>
      <c r="U40" t="s">
        <v>35</v>
      </c>
      <c r="V40" t="s">
        <v>55</v>
      </c>
      <c r="W40" t="s">
        <v>56</v>
      </c>
      <c r="X40" t="s">
        <v>38</v>
      </c>
    </row>
    <row r="41" spans="1:24" x14ac:dyDescent="0.3">
      <c r="A41" t="s">
        <v>123</v>
      </c>
      <c r="B41" t="s">
        <v>25</v>
      </c>
      <c r="C41" t="s">
        <v>112</v>
      </c>
      <c r="D41" t="s">
        <v>45</v>
      </c>
      <c r="E41" t="s">
        <v>28</v>
      </c>
      <c r="F41">
        <v>1</v>
      </c>
      <c r="G41" t="s">
        <v>29</v>
      </c>
      <c r="H41" t="s">
        <v>68</v>
      </c>
      <c r="I41" t="s">
        <v>31</v>
      </c>
      <c r="J41">
        <v>80</v>
      </c>
      <c r="K41" t="s">
        <v>32</v>
      </c>
      <c r="L41">
        <v>10999</v>
      </c>
      <c r="M41" t="s">
        <v>33</v>
      </c>
      <c r="N41" s="1">
        <v>45548</v>
      </c>
      <c r="O41" s="1">
        <v>45565</v>
      </c>
      <c r="P41" s="1">
        <v>45580</v>
      </c>
      <c r="Q41">
        <v>17</v>
      </c>
      <c r="R41">
        <v>32</v>
      </c>
      <c r="S41">
        <v>15</v>
      </c>
      <c r="T41" t="s">
        <v>42</v>
      </c>
      <c r="U41" t="s">
        <v>35</v>
      </c>
      <c r="V41" t="s">
        <v>36</v>
      </c>
      <c r="W41" t="s">
        <v>37</v>
      </c>
      <c r="X41" t="s">
        <v>38</v>
      </c>
    </row>
    <row r="42" spans="1:24" x14ac:dyDescent="0.3">
      <c r="A42" t="s">
        <v>124</v>
      </c>
      <c r="B42" t="s">
        <v>25</v>
      </c>
      <c r="C42" t="s">
        <v>112</v>
      </c>
      <c r="D42" t="s">
        <v>45</v>
      </c>
      <c r="E42" t="s">
        <v>28</v>
      </c>
      <c r="F42">
        <v>1</v>
      </c>
      <c r="G42" t="s">
        <v>29</v>
      </c>
      <c r="H42" t="s">
        <v>68</v>
      </c>
      <c r="I42" t="s">
        <v>89</v>
      </c>
      <c r="J42">
        <v>120</v>
      </c>
      <c r="K42" t="s">
        <v>125</v>
      </c>
      <c r="L42">
        <v>13849</v>
      </c>
      <c r="M42" t="s">
        <v>33</v>
      </c>
      <c r="N42" s="1">
        <v>45548</v>
      </c>
      <c r="O42" s="1">
        <v>45565</v>
      </c>
      <c r="P42" s="1">
        <v>45585</v>
      </c>
      <c r="Q42">
        <v>17</v>
      </c>
      <c r="R42">
        <v>37</v>
      </c>
      <c r="S42">
        <v>20</v>
      </c>
      <c r="T42" t="s">
        <v>42</v>
      </c>
      <c r="U42" t="s">
        <v>35</v>
      </c>
      <c r="V42" t="s">
        <v>36</v>
      </c>
      <c r="W42" t="s">
        <v>37</v>
      </c>
      <c r="X42" t="s">
        <v>38</v>
      </c>
    </row>
    <row r="43" spans="1:24" x14ac:dyDescent="0.3">
      <c r="A43" t="s">
        <v>126</v>
      </c>
      <c r="B43" t="s">
        <v>25</v>
      </c>
      <c r="C43" t="s">
        <v>66</v>
      </c>
      <c r="D43" t="s">
        <v>67</v>
      </c>
      <c r="E43" t="s">
        <v>28</v>
      </c>
      <c r="F43">
        <v>1</v>
      </c>
      <c r="G43" t="s">
        <v>29</v>
      </c>
      <c r="H43" t="s">
        <v>127</v>
      </c>
      <c r="K43" t="s">
        <v>41</v>
      </c>
      <c r="L43">
        <v>9399</v>
      </c>
      <c r="M43" t="s">
        <v>33</v>
      </c>
      <c r="N43" s="1">
        <v>45549</v>
      </c>
      <c r="O43" s="1">
        <v>45557</v>
      </c>
      <c r="P43" s="1"/>
      <c r="Q43">
        <v>8</v>
      </c>
      <c r="T43" t="s">
        <v>42</v>
      </c>
      <c r="U43" t="s">
        <v>35</v>
      </c>
      <c r="V43" t="s">
        <v>76</v>
      </c>
      <c r="W43" t="s">
        <v>37</v>
      </c>
      <c r="X43" t="s">
        <v>77</v>
      </c>
    </row>
    <row r="44" spans="1:24" x14ac:dyDescent="0.3">
      <c r="A44" t="s">
        <v>128</v>
      </c>
      <c r="B44" t="s">
        <v>25</v>
      </c>
      <c r="C44" t="s">
        <v>58</v>
      </c>
      <c r="D44" t="s">
        <v>27</v>
      </c>
      <c r="E44" t="s">
        <v>28</v>
      </c>
      <c r="F44">
        <v>1</v>
      </c>
      <c r="G44" t="s">
        <v>61</v>
      </c>
      <c r="H44" t="s">
        <v>29</v>
      </c>
      <c r="K44" t="s">
        <v>41</v>
      </c>
      <c r="L44">
        <v>21999</v>
      </c>
      <c r="M44" t="s">
        <v>33</v>
      </c>
      <c r="N44" s="1">
        <v>45548</v>
      </c>
      <c r="O44" s="1">
        <v>45565</v>
      </c>
      <c r="P44" s="1"/>
      <c r="Q44">
        <v>17</v>
      </c>
      <c r="T44" t="s">
        <v>42</v>
      </c>
      <c r="U44" t="s">
        <v>35</v>
      </c>
      <c r="V44" t="s">
        <v>36</v>
      </c>
      <c r="W44" t="s">
        <v>37</v>
      </c>
      <c r="X44" t="s">
        <v>38</v>
      </c>
    </row>
    <row r="45" spans="1:24" x14ac:dyDescent="0.3">
      <c r="A45" t="s">
        <v>129</v>
      </c>
      <c r="B45" t="s">
        <v>25</v>
      </c>
      <c r="C45" t="s">
        <v>112</v>
      </c>
      <c r="D45" t="s">
        <v>45</v>
      </c>
      <c r="E45" t="s">
        <v>28</v>
      </c>
      <c r="F45">
        <v>1</v>
      </c>
      <c r="G45" t="s">
        <v>29</v>
      </c>
      <c r="H45" t="s">
        <v>127</v>
      </c>
      <c r="K45" t="s">
        <v>41</v>
      </c>
      <c r="L45">
        <v>9399</v>
      </c>
      <c r="M45" t="s">
        <v>33</v>
      </c>
      <c r="N45" s="1">
        <v>45548</v>
      </c>
      <c r="O45" s="1">
        <v>45559</v>
      </c>
      <c r="P45" s="1">
        <v>45565</v>
      </c>
      <c r="Q45">
        <v>11</v>
      </c>
      <c r="R45">
        <v>17</v>
      </c>
      <c r="S45">
        <v>6</v>
      </c>
      <c r="T45" t="s">
        <v>42</v>
      </c>
      <c r="U45" t="s">
        <v>35</v>
      </c>
      <c r="V45" t="s">
        <v>55</v>
      </c>
      <c r="W45" t="s">
        <v>56</v>
      </c>
      <c r="X45" t="s">
        <v>38</v>
      </c>
    </row>
    <row r="46" spans="1:24" x14ac:dyDescent="0.3">
      <c r="A46" t="s">
        <v>130</v>
      </c>
      <c r="B46" t="s">
        <v>25</v>
      </c>
      <c r="C46" t="s">
        <v>112</v>
      </c>
      <c r="D46" t="s">
        <v>45</v>
      </c>
      <c r="E46" t="s">
        <v>28</v>
      </c>
      <c r="F46">
        <v>1</v>
      </c>
      <c r="G46" t="s">
        <v>29</v>
      </c>
      <c r="H46" t="s">
        <v>127</v>
      </c>
      <c r="K46" t="s">
        <v>41</v>
      </c>
      <c r="L46">
        <v>9399</v>
      </c>
      <c r="M46" t="s">
        <v>33</v>
      </c>
      <c r="N46" s="1">
        <v>45549</v>
      </c>
      <c r="O46" s="1">
        <v>45594</v>
      </c>
      <c r="P46" s="1">
        <v>45580</v>
      </c>
      <c r="Q46">
        <v>45</v>
      </c>
      <c r="R46">
        <v>31</v>
      </c>
      <c r="S46">
        <v>-14</v>
      </c>
      <c r="T46" t="s">
        <v>48</v>
      </c>
      <c r="U46" t="s">
        <v>49</v>
      </c>
      <c r="V46" t="s">
        <v>36</v>
      </c>
      <c r="W46" t="s">
        <v>37</v>
      </c>
      <c r="X46" t="s">
        <v>38</v>
      </c>
    </row>
    <row r="47" spans="1:24" x14ac:dyDescent="0.3">
      <c r="A47" t="s">
        <v>131</v>
      </c>
      <c r="B47" t="s">
        <v>25</v>
      </c>
      <c r="C47" t="s">
        <v>132</v>
      </c>
      <c r="D47" t="s">
        <v>45</v>
      </c>
      <c r="E47" t="s">
        <v>28</v>
      </c>
      <c r="F47">
        <v>1</v>
      </c>
      <c r="G47" t="s">
        <v>53</v>
      </c>
      <c r="H47" t="s">
        <v>54</v>
      </c>
      <c r="L47">
        <v>8349</v>
      </c>
      <c r="M47" t="s">
        <v>33</v>
      </c>
      <c r="N47" s="1">
        <v>45549</v>
      </c>
      <c r="O47" s="1">
        <v>45581</v>
      </c>
      <c r="P47" s="1">
        <v>45586</v>
      </c>
      <c r="Q47">
        <v>32</v>
      </c>
      <c r="R47">
        <v>37</v>
      </c>
      <c r="S47">
        <v>5</v>
      </c>
      <c r="T47" t="s">
        <v>42</v>
      </c>
      <c r="U47" t="s">
        <v>35</v>
      </c>
      <c r="V47" t="s">
        <v>36</v>
      </c>
      <c r="W47" t="s">
        <v>37</v>
      </c>
      <c r="X47" t="s">
        <v>38</v>
      </c>
    </row>
    <row r="48" spans="1:24" x14ac:dyDescent="0.3">
      <c r="A48" t="s">
        <v>133</v>
      </c>
      <c r="B48" t="s">
        <v>25</v>
      </c>
      <c r="C48" t="s">
        <v>84</v>
      </c>
      <c r="D48" t="s">
        <v>27</v>
      </c>
      <c r="E48" t="s">
        <v>28</v>
      </c>
      <c r="F48">
        <v>1</v>
      </c>
      <c r="G48" t="s">
        <v>53</v>
      </c>
      <c r="H48" t="s">
        <v>54</v>
      </c>
      <c r="L48">
        <v>7849</v>
      </c>
      <c r="M48" t="s">
        <v>33</v>
      </c>
      <c r="N48" s="1">
        <v>45549</v>
      </c>
      <c r="O48" s="1">
        <v>45594</v>
      </c>
      <c r="P48" s="1">
        <v>45595</v>
      </c>
      <c r="Q48">
        <v>45</v>
      </c>
      <c r="R48">
        <v>46</v>
      </c>
      <c r="S48">
        <v>1</v>
      </c>
      <c r="T48" t="s">
        <v>34</v>
      </c>
      <c r="U48" t="s">
        <v>35</v>
      </c>
      <c r="V48" t="s">
        <v>36</v>
      </c>
      <c r="W48" t="s">
        <v>37</v>
      </c>
      <c r="X48" t="s">
        <v>38</v>
      </c>
    </row>
    <row r="49" spans="1:24" x14ac:dyDescent="0.3">
      <c r="A49" t="s">
        <v>134</v>
      </c>
      <c r="B49" t="s">
        <v>25</v>
      </c>
      <c r="C49" t="s">
        <v>135</v>
      </c>
      <c r="D49" t="s">
        <v>107</v>
      </c>
      <c r="E49" t="s">
        <v>28</v>
      </c>
      <c r="F49">
        <v>1</v>
      </c>
      <c r="G49" t="s">
        <v>29</v>
      </c>
      <c r="H49" t="s">
        <v>127</v>
      </c>
      <c r="K49" t="s">
        <v>41</v>
      </c>
      <c r="L49">
        <v>10160</v>
      </c>
      <c r="M49" t="s">
        <v>64</v>
      </c>
      <c r="N49" s="1">
        <v>45501</v>
      </c>
      <c r="O49" s="1"/>
      <c r="P49" s="1">
        <v>45515</v>
      </c>
      <c r="R49">
        <v>14</v>
      </c>
      <c r="T49" t="s">
        <v>42</v>
      </c>
      <c r="U49" t="s">
        <v>35</v>
      </c>
      <c r="V49" t="s">
        <v>55</v>
      </c>
      <c r="W49" t="s">
        <v>56</v>
      </c>
      <c r="X49" t="s">
        <v>38</v>
      </c>
    </row>
    <row r="50" spans="1:24" x14ac:dyDescent="0.3">
      <c r="A50" t="s">
        <v>136</v>
      </c>
      <c r="B50" t="s">
        <v>25</v>
      </c>
      <c r="C50" t="s">
        <v>137</v>
      </c>
      <c r="D50" t="s">
        <v>45</v>
      </c>
      <c r="E50" t="s">
        <v>28</v>
      </c>
      <c r="F50">
        <v>1</v>
      </c>
      <c r="G50" t="s">
        <v>29</v>
      </c>
      <c r="H50" t="s">
        <v>127</v>
      </c>
      <c r="K50" t="s">
        <v>32</v>
      </c>
      <c r="L50">
        <v>10160</v>
      </c>
      <c r="M50" t="s">
        <v>33</v>
      </c>
      <c r="N50" s="1">
        <v>45500</v>
      </c>
      <c r="O50" s="1"/>
      <c r="P50" s="1">
        <v>45514</v>
      </c>
      <c r="R50">
        <v>14</v>
      </c>
      <c r="T50" t="s">
        <v>42</v>
      </c>
      <c r="U50" t="s">
        <v>35</v>
      </c>
      <c r="V50" t="s">
        <v>55</v>
      </c>
      <c r="W50" t="s">
        <v>56</v>
      </c>
      <c r="X50" t="s">
        <v>38</v>
      </c>
    </row>
    <row r="51" spans="1:24" x14ac:dyDescent="0.3">
      <c r="A51" t="s">
        <v>138</v>
      </c>
      <c r="B51" t="s">
        <v>60</v>
      </c>
      <c r="C51" t="s">
        <v>26</v>
      </c>
      <c r="D51" t="s">
        <v>27</v>
      </c>
      <c r="E51" t="s">
        <v>28</v>
      </c>
      <c r="F51">
        <v>1</v>
      </c>
      <c r="G51" t="s">
        <v>53</v>
      </c>
      <c r="H51" t="s">
        <v>54</v>
      </c>
      <c r="L51">
        <v>8349</v>
      </c>
      <c r="M51" t="s">
        <v>33</v>
      </c>
      <c r="N51" s="1">
        <v>45549</v>
      </c>
      <c r="O51" s="1">
        <v>45594</v>
      </c>
      <c r="P51" s="1">
        <v>45584</v>
      </c>
      <c r="Q51">
        <v>45</v>
      </c>
      <c r="R51">
        <v>35</v>
      </c>
      <c r="S51">
        <v>-10</v>
      </c>
      <c r="T51" t="s">
        <v>48</v>
      </c>
      <c r="U51" t="s">
        <v>49</v>
      </c>
      <c r="V51" t="s">
        <v>36</v>
      </c>
      <c r="W51" t="s">
        <v>37</v>
      </c>
      <c r="X51" t="s">
        <v>38</v>
      </c>
    </row>
    <row r="52" spans="1:24" x14ac:dyDescent="0.3">
      <c r="A52" t="s">
        <v>139</v>
      </c>
      <c r="B52" t="s">
        <v>25</v>
      </c>
      <c r="C52" t="s">
        <v>140</v>
      </c>
      <c r="D52" t="s">
        <v>27</v>
      </c>
      <c r="E52" t="s">
        <v>28</v>
      </c>
      <c r="F52">
        <v>2</v>
      </c>
      <c r="G52" t="s">
        <v>29</v>
      </c>
      <c r="H52" t="s">
        <v>141</v>
      </c>
      <c r="I52" t="s">
        <v>90</v>
      </c>
      <c r="J52">
        <v>120</v>
      </c>
      <c r="K52" t="s">
        <v>32</v>
      </c>
      <c r="L52">
        <v>17886</v>
      </c>
      <c r="M52" t="s">
        <v>33</v>
      </c>
      <c r="N52" s="1">
        <v>45549</v>
      </c>
      <c r="O52" s="1">
        <v>45594</v>
      </c>
      <c r="P52" s="1"/>
      <c r="Q52">
        <v>45</v>
      </c>
      <c r="T52" t="s">
        <v>42</v>
      </c>
      <c r="U52" t="s">
        <v>35</v>
      </c>
      <c r="V52" t="s">
        <v>77</v>
      </c>
      <c r="W52" t="s">
        <v>37</v>
      </c>
      <c r="X52" t="s">
        <v>77</v>
      </c>
    </row>
    <row r="53" spans="1:24" x14ac:dyDescent="0.3">
      <c r="A53" t="s">
        <v>139</v>
      </c>
      <c r="B53" t="s">
        <v>25</v>
      </c>
      <c r="C53" t="s">
        <v>140</v>
      </c>
      <c r="D53" t="s">
        <v>27</v>
      </c>
      <c r="E53" t="s">
        <v>28</v>
      </c>
      <c r="F53">
        <v>2</v>
      </c>
      <c r="G53" t="s">
        <v>29</v>
      </c>
      <c r="H53" t="s">
        <v>141</v>
      </c>
      <c r="I53" t="s">
        <v>90</v>
      </c>
      <c r="J53">
        <v>120</v>
      </c>
      <c r="K53" t="s">
        <v>32</v>
      </c>
      <c r="L53">
        <v>17886</v>
      </c>
      <c r="M53" t="s">
        <v>33</v>
      </c>
      <c r="N53" s="1">
        <v>45549</v>
      </c>
      <c r="O53" s="1">
        <v>45594</v>
      </c>
      <c r="P53" s="1"/>
      <c r="Q53">
        <v>45</v>
      </c>
      <c r="T53" t="s">
        <v>42</v>
      </c>
      <c r="U53" t="s">
        <v>35</v>
      </c>
      <c r="V53" t="s">
        <v>77</v>
      </c>
      <c r="W53" t="s">
        <v>37</v>
      </c>
      <c r="X53" t="s">
        <v>77</v>
      </c>
    </row>
    <row r="54" spans="1:24" x14ac:dyDescent="0.3">
      <c r="A54" t="s">
        <v>142</v>
      </c>
      <c r="B54" t="s">
        <v>25</v>
      </c>
      <c r="C54" t="s">
        <v>58</v>
      </c>
      <c r="D54" t="s">
        <v>27</v>
      </c>
      <c r="E54" t="s">
        <v>28</v>
      </c>
      <c r="F54">
        <v>2</v>
      </c>
      <c r="G54" t="s">
        <v>29</v>
      </c>
      <c r="H54" t="s">
        <v>46</v>
      </c>
      <c r="I54" t="s">
        <v>47</v>
      </c>
      <c r="J54">
        <v>120</v>
      </c>
      <c r="K54" t="s">
        <v>32</v>
      </c>
      <c r="L54">
        <v>10987</v>
      </c>
      <c r="M54" t="s">
        <v>33</v>
      </c>
      <c r="N54" s="1">
        <v>45549</v>
      </c>
      <c r="O54" s="1">
        <v>45594</v>
      </c>
      <c r="P54" s="1">
        <v>45578</v>
      </c>
      <c r="Q54">
        <v>45</v>
      </c>
      <c r="R54">
        <v>29</v>
      </c>
      <c r="S54">
        <v>-16</v>
      </c>
      <c r="T54" t="s">
        <v>48</v>
      </c>
      <c r="U54" t="s">
        <v>49</v>
      </c>
      <c r="V54" t="s">
        <v>36</v>
      </c>
      <c r="W54" t="s">
        <v>37</v>
      </c>
      <c r="X54" t="s">
        <v>38</v>
      </c>
    </row>
    <row r="55" spans="1:24" x14ac:dyDescent="0.3">
      <c r="A55" t="s">
        <v>142</v>
      </c>
      <c r="B55" t="s">
        <v>25</v>
      </c>
      <c r="C55" t="s">
        <v>58</v>
      </c>
      <c r="D55" t="s">
        <v>27</v>
      </c>
      <c r="E55" t="s">
        <v>28</v>
      </c>
      <c r="F55">
        <v>2</v>
      </c>
      <c r="G55" t="s">
        <v>29</v>
      </c>
      <c r="H55" t="s">
        <v>46</v>
      </c>
      <c r="I55" t="s">
        <v>47</v>
      </c>
      <c r="J55">
        <v>120</v>
      </c>
      <c r="K55" t="s">
        <v>32</v>
      </c>
      <c r="L55">
        <v>10987</v>
      </c>
      <c r="M55" t="s">
        <v>33</v>
      </c>
      <c r="N55" s="1">
        <v>45549</v>
      </c>
      <c r="O55" s="1">
        <v>45594</v>
      </c>
      <c r="P55" s="1">
        <v>45578</v>
      </c>
      <c r="Q55">
        <v>45</v>
      </c>
      <c r="R55">
        <v>29</v>
      </c>
      <c r="S55">
        <v>-16</v>
      </c>
      <c r="T55" t="s">
        <v>48</v>
      </c>
      <c r="U55" t="s">
        <v>49</v>
      </c>
      <c r="V55" t="s">
        <v>36</v>
      </c>
      <c r="W55" t="s">
        <v>37</v>
      </c>
      <c r="X55" t="s">
        <v>38</v>
      </c>
    </row>
    <row r="56" spans="1:24" x14ac:dyDescent="0.3">
      <c r="A56" t="s">
        <v>143</v>
      </c>
      <c r="B56" t="s">
        <v>25</v>
      </c>
      <c r="C56" t="s">
        <v>144</v>
      </c>
      <c r="D56" t="s">
        <v>100</v>
      </c>
      <c r="E56" t="s">
        <v>28</v>
      </c>
      <c r="F56">
        <v>1</v>
      </c>
      <c r="G56" t="s">
        <v>53</v>
      </c>
      <c r="H56" t="s">
        <v>54</v>
      </c>
      <c r="L56">
        <v>10319</v>
      </c>
      <c r="M56" t="s">
        <v>33</v>
      </c>
      <c r="N56" s="1">
        <v>45549</v>
      </c>
      <c r="O56" s="1">
        <v>45594</v>
      </c>
      <c r="P56" s="1">
        <v>45584</v>
      </c>
      <c r="Q56">
        <v>45</v>
      </c>
      <c r="R56">
        <v>35</v>
      </c>
      <c r="S56">
        <v>-10</v>
      </c>
      <c r="T56" t="s">
        <v>48</v>
      </c>
      <c r="U56" t="s">
        <v>49</v>
      </c>
      <c r="V56" t="s">
        <v>36</v>
      </c>
      <c r="W56" t="s">
        <v>37</v>
      </c>
      <c r="X56" t="s">
        <v>38</v>
      </c>
    </row>
    <row r="57" spans="1:24" x14ac:dyDescent="0.3">
      <c r="A57" t="s">
        <v>145</v>
      </c>
      <c r="B57" t="s">
        <v>25</v>
      </c>
      <c r="C57" t="s">
        <v>26</v>
      </c>
      <c r="D57" t="s">
        <v>27</v>
      </c>
      <c r="E57" t="s">
        <v>28</v>
      </c>
      <c r="F57">
        <v>1</v>
      </c>
      <c r="G57" t="s">
        <v>29</v>
      </c>
      <c r="H57" t="s">
        <v>68</v>
      </c>
      <c r="I57" t="s">
        <v>97</v>
      </c>
      <c r="J57">
        <v>90</v>
      </c>
      <c r="K57" t="s">
        <v>41</v>
      </c>
      <c r="L57">
        <v>5999</v>
      </c>
      <c r="M57" t="s">
        <v>33</v>
      </c>
      <c r="N57" s="1">
        <v>45547</v>
      </c>
      <c r="O57" s="1">
        <v>45564</v>
      </c>
      <c r="P57" s="1"/>
      <c r="Q57">
        <v>17</v>
      </c>
      <c r="T57" t="s">
        <v>42</v>
      </c>
      <c r="U57" t="s">
        <v>35</v>
      </c>
      <c r="V57" t="s">
        <v>74</v>
      </c>
      <c r="W57" t="s">
        <v>74</v>
      </c>
      <c r="X57" t="s">
        <v>38</v>
      </c>
    </row>
    <row r="58" spans="1:24" x14ac:dyDescent="0.3">
      <c r="A58" t="s">
        <v>146</v>
      </c>
      <c r="B58" t="s">
        <v>25</v>
      </c>
      <c r="C58" t="s">
        <v>51</v>
      </c>
      <c r="D58" t="s">
        <v>52</v>
      </c>
      <c r="E58" t="s">
        <v>28</v>
      </c>
      <c r="F58">
        <v>1</v>
      </c>
      <c r="G58" t="s">
        <v>61</v>
      </c>
      <c r="H58" t="s">
        <v>29</v>
      </c>
      <c r="K58" t="s">
        <v>41</v>
      </c>
      <c r="L58">
        <v>21999</v>
      </c>
      <c r="M58" t="s">
        <v>33</v>
      </c>
      <c r="N58" s="1">
        <v>45549</v>
      </c>
      <c r="O58" s="1">
        <v>45616</v>
      </c>
      <c r="P58" s="1"/>
      <c r="Q58">
        <v>67</v>
      </c>
      <c r="T58" t="s">
        <v>42</v>
      </c>
      <c r="U58" t="s">
        <v>35</v>
      </c>
      <c r="V58" t="s">
        <v>77</v>
      </c>
      <c r="W58" t="s">
        <v>37</v>
      </c>
      <c r="X58" t="s">
        <v>77</v>
      </c>
    </row>
    <row r="59" spans="1:24" x14ac:dyDescent="0.3">
      <c r="A59" t="s">
        <v>147</v>
      </c>
      <c r="B59" t="s">
        <v>25</v>
      </c>
      <c r="C59" t="s">
        <v>26</v>
      </c>
      <c r="D59" t="s">
        <v>27</v>
      </c>
      <c r="E59" t="s">
        <v>28</v>
      </c>
      <c r="F59">
        <v>1</v>
      </c>
      <c r="G59" t="s">
        <v>29</v>
      </c>
      <c r="H59" t="s">
        <v>68</v>
      </c>
      <c r="I59" t="s">
        <v>97</v>
      </c>
      <c r="J59">
        <v>100</v>
      </c>
      <c r="K59" t="s">
        <v>62</v>
      </c>
      <c r="L59">
        <v>12399</v>
      </c>
      <c r="M59" t="s">
        <v>33</v>
      </c>
      <c r="N59" s="1">
        <v>45549</v>
      </c>
      <c r="O59" s="1">
        <v>45616</v>
      </c>
      <c r="P59" s="1">
        <v>45566</v>
      </c>
      <c r="Q59">
        <v>67</v>
      </c>
      <c r="R59">
        <v>17</v>
      </c>
      <c r="S59">
        <v>-50</v>
      </c>
      <c r="T59" t="s">
        <v>48</v>
      </c>
      <c r="U59" t="s">
        <v>49</v>
      </c>
      <c r="V59" t="s">
        <v>55</v>
      </c>
      <c r="W59" t="s">
        <v>56</v>
      </c>
      <c r="X59" t="s">
        <v>38</v>
      </c>
    </row>
    <row r="60" spans="1:24" x14ac:dyDescent="0.3">
      <c r="A60" t="s">
        <v>148</v>
      </c>
      <c r="B60" t="s">
        <v>25</v>
      </c>
      <c r="C60" t="s">
        <v>58</v>
      </c>
      <c r="D60" t="s">
        <v>27</v>
      </c>
      <c r="E60" t="s">
        <v>28</v>
      </c>
      <c r="F60">
        <v>1</v>
      </c>
      <c r="G60" t="s">
        <v>61</v>
      </c>
      <c r="H60" t="s">
        <v>29</v>
      </c>
      <c r="K60" t="s">
        <v>41</v>
      </c>
      <c r="L60">
        <v>21999</v>
      </c>
      <c r="M60" t="s">
        <v>33</v>
      </c>
      <c r="N60" s="1">
        <v>45549</v>
      </c>
      <c r="O60" s="1">
        <v>45616</v>
      </c>
      <c r="P60" s="1">
        <v>45574</v>
      </c>
      <c r="Q60">
        <v>67</v>
      </c>
      <c r="R60">
        <v>25</v>
      </c>
      <c r="S60">
        <v>-42</v>
      </c>
      <c r="T60" t="s">
        <v>48</v>
      </c>
      <c r="U60" t="s">
        <v>49</v>
      </c>
      <c r="V60" t="s">
        <v>36</v>
      </c>
      <c r="W60" t="s">
        <v>37</v>
      </c>
      <c r="X60" t="s">
        <v>38</v>
      </c>
    </row>
    <row r="61" spans="1:24" x14ac:dyDescent="0.3">
      <c r="A61" t="s">
        <v>149</v>
      </c>
      <c r="B61" t="s">
        <v>25</v>
      </c>
      <c r="C61" t="s">
        <v>84</v>
      </c>
      <c r="D61" t="s">
        <v>27</v>
      </c>
      <c r="E61" t="s">
        <v>28</v>
      </c>
      <c r="F61">
        <v>1</v>
      </c>
      <c r="G61" t="s">
        <v>29</v>
      </c>
      <c r="H61" t="s">
        <v>68</v>
      </c>
      <c r="I61" t="s">
        <v>97</v>
      </c>
      <c r="J61">
        <v>80</v>
      </c>
      <c r="K61" t="s">
        <v>32</v>
      </c>
      <c r="L61">
        <v>10999</v>
      </c>
      <c r="M61" t="s">
        <v>33</v>
      </c>
      <c r="N61" s="1">
        <v>45549</v>
      </c>
      <c r="O61" s="1">
        <v>45616</v>
      </c>
      <c r="P61" s="1">
        <v>45581</v>
      </c>
      <c r="Q61">
        <v>67</v>
      </c>
      <c r="R61">
        <v>32</v>
      </c>
      <c r="S61">
        <v>-35</v>
      </c>
      <c r="T61" t="s">
        <v>48</v>
      </c>
      <c r="U61" t="s">
        <v>49</v>
      </c>
      <c r="V61" t="s">
        <v>36</v>
      </c>
      <c r="W61" t="s">
        <v>37</v>
      </c>
      <c r="X61" t="s">
        <v>38</v>
      </c>
    </row>
    <row r="62" spans="1:24" x14ac:dyDescent="0.3">
      <c r="A62" t="s">
        <v>150</v>
      </c>
      <c r="B62" t="s">
        <v>25</v>
      </c>
      <c r="C62" t="s">
        <v>40</v>
      </c>
      <c r="D62" t="s">
        <v>27</v>
      </c>
      <c r="E62" t="s">
        <v>28</v>
      </c>
      <c r="F62">
        <v>1</v>
      </c>
      <c r="G62" t="s">
        <v>29</v>
      </c>
      <c r="H62" t="s">
        <v>68</v>
      </c>
      <c r="I62" t="s">
        <v>31</v>
      </c>
      <c r="J62">
        <v>80</v>
      </c>
      <c r="K62" t="s">
        <v>32</v>
      </c>
      <c r="L62">
        <v>10999</v>
      </c>
      <c r="M62" t="s">
        <v>33</v>
      </c>
      <c r="N62" s="1">
        <v>45550</v>
      </c>
      <c r="O62" s="1">
        <v>45616</v>
      </c>
      <c r="P62" s="1">
        <v>45581</v>
      </c>
      <c r="Q62">
        <v>66</v>
      </c>
      <c r="R62">
        <v>31</v>
      </c>
      <c r="S62">
        <v>-35</v>
      </c>
      <c r="T62" t="s">
        <v>48</v>
      </c>
      <c r="U62" t="s">
        <v>49</v>
      </c>
      <c r="V62" t="s">
        <v>36</v>
      </c>
      <c r="W62" t="s">
        <v>37</v>
      </c>
      <c r="X62" t="s">
        <v>38</v>
      </c>
    </row>
    <row r="63" spans="1:24" x14ac:dyDescent="0.3">
      <c r="A63" t="s">
        <v>150</v>
      </c>
      <c r="B63" t="s">
        <v>25</v>
      </c>
      <c r="C63" t="s">
        <v>40</v>
      </c>
      <c r="D63" t="s">
        <v>27</v>
      </c>
      <c r="E63" t="s">
        <v>28</v>
      </c>
      <c r="F63">
        <v>1</v>
      </c>
      <c r="G63" t="s">
        <v>29</v>
      </c>
      <c r="H63" t="s">
        <v>68</v>
      </c>
      <c r="I63" t="s">
        <v>31</v>
      </c>
      <c r="J63">
        <v>80</v>
      </c>
      <c r="K63" t="s">
        <v>32</v>
      </c>
      <c r="L63">
        <v>10999</v>
      </c>
      <c r="M63" t="s">
        <v>33</v>
      </c>
      <c r="N63" s="1">
        <v>45550</v>
      </c>
      <c r="O63" s="1">
        <v>45616</v>
      </c>
      <c r="P63" s="1">
        <v>45581</v>
      </c>
      <c r="Q63">
        <v>66</v>
      </c>
      <c r="R63">
        <v>31</v>
      </c>
      <c r="S63">
        <v>-35</v>
      </c>
      <c r="T63" t="s">
        <v>48</v>
      </c>
      <c r="U63" t="s">
        <v>49</v>
      </c>
      <c r="V63" t="s">
        <v>36</v>
      </c>
      <c r="W63" t="s">
        <v>37</v>
      </c>
      <c r="X63" t="s">
        <v>38</v>
      </c>
    </row>
    <row r="64" spans="1:24" x14ac:dyDescent="0.3">
      <c r="A64" t="s">
        <v>151</v>
      </c>
      <c r="B64" t="s">
        <v>25</v>
      </c>
      <c r="C64" t="s">
        <v>152</v>
      </c>
      <c r="D64" t="s">
        <v>27</v>
      </c>
      <c r="E64" t="s">
        <v>28</v>
      </c>
      <c r="F64">
        <v>1</v>
      </c>
      <c r="G64" t="s">
        <v>61</v>
      </c>
      <c r="H64" t="s">
        <v>153</v>
      </c>
      <c r="K64" t="s">
        <v>41</v>
      </c>
      <c r="L64">
        <v>21999</v>
      </c>
      <c r="M64" t="s">
        <v>33</v>
      </c>
      <c r="N64" s="1">
        <v>45550</v>
      </c>
      <c r="O64" s="1">
        <v>45616</v>
      </c>
      <c r="P64" s="1">
        <v>45584</v>
      </c>
      <c r="Q64">
        <v>66</v>
      </c>
      <c r="R64">
        <v>34</v>
      </c>
      <c r="S64">
        <v>-32</v>
      </c>
      <c r="T64" t="s">
        <v>48</v>
      </c>
      <c r="U64" t="s">
        <v>49</v>
      </c>
      <c r="V64" t="s">
        <v>36</v>
      </c>
      <c r="W64" t="s">
        <v>37</v>
      </c>
      <c r="X64" t="s">
        <v>38</v>
      </c>
    </row>
    <row r="65" spans="1:24" x14ac:dyDescent="0.3">
      <c r="A65" t="s">
        <v>154</v>
      </c>
      <c r="B65" t="s">
        <v>25</v>
      </c>
      <c r="C65" t="s">
        <v>66</v>
      </c>
      <c r="D65" t="s">
        <v>67</v>
      </c>
      <c r="E65" t="s">
        <v>28</v>
      </c>
      <c r="F65">
        <v>1</v>
      </c>
      <c r="G65" t="s">
        <v>53</v>
      </c>
      <c r="H65" t="s">
        <v>68</v>
      </c>
      <c r="L65">
        <v>7849</v>
      </c>
      <c r="M65" t="s">
        <v>64</v>
      </c>
      <c r="N65" s="1">
        <v>45551</v>
      </c>
      <c r="O65" s="1">
        <v>45595</v>
      </c>
      <c r="P65" s="1">
        <v>45610</v>
      </c>
      <c r="Q65">
        <v>44</v>
      </c>
      <c r="R65">
        <v>59</v>
      </c>
      <c r="S65">
        <v>15</v>
      </c>
      <c r="T65" t="s">
        <v>42</v>
      </c>
      <c r="U65" t="s">
        <v>35</v>
      </c>
      <c r="V65" t="s">
        <v>55</v>
      </c>
      <c r="W65" t="s">
        <v>56</v>
      </c>
      <c r="X65" t="s">
        <v>38</v>
      </c>
    </row>
    <row r="66" spans="1:24" x14ac:dyDescent="0.3">
      <c r="A66" t="s">
        <v>98</v>
      </c>
      <c r="B66" t="s">
        <v>60</v>
      </c>
      <c r="C66" t="s">
        <v>155</v>
      </c>
      <c r="D66" t="s">
        <v>45</v>
      </c>
      <c r="E66" t="s">
        <v>88</v>
      </c>
      <c r="F66">
        <v>1</v>
      </c>
      <c r="G66" t="s">
        <v>29</v>
      </c>
      <c r="H66" t="s">
        <v>68</v>
      </c>
      <c r="I66" t="s">
        <v>31</v>
      </c>
      <c r="J66">
        <v>80</v>
      </c>
      <c r="K66" t="s">
        <v>32</v>
      </c>
      <c r="L66">
        <v>5074</v>
      </c>
      <c r="M66" t="s">
        <v>101</v>
      </c>
      <c r="N66" s="1">
        <v>45556</v>
      </c>
      <c r="O66" s="1">
        <v>45570</v>
      </c>
      <c r="P66" s="1">
        <v>45577</v>
      </c>
      <c r="Q66">
        <v>14</v>
      </c>
      <c r="R66">
        <v>21</v>
      </c>
      <c r="S66">
        <v>7</v>
      </c>
      <c r="T66" t="s">
        <v>42</v>
      </c>
      <c r="U66" t="s">
        <v>35</v>
      </c>
      <c r="V66" t="s">
        <v>36</v>
      </c>
      <c r="W66" t="s">
        <v>37</v>
      </c>
      <c r="X66" t="s">
        <v>38</v>
      </c>
    </row>
    <row r="67" spans="1:24" x14ac:dyDescent="0.3">
      <c r="A67" t="s">
        <v>70</v>
      </c>
      <c r="B67" t="s">
        <v>60</v>
      </c>
      <c r="C67" t="s">
        <v>71</v>
      </c>
      <c r="D67" t="s">
        <v>27</v>
      </c>
      <c r="E67" t="s">
        <v>72</v>
      </c>
      <c r="F67">
        <v>1</v>
      </c>
      <c r="G67" t="s">
        <v>29</v>
      </c>
      <c r="H67" t="s">
        <v>68</v>
      </c>
      <c r="I67" t="s">
        <v>89</v>
      </c>
      <c r="J67">
        <v>100</v>
      </c>
      <c r="K67" t="s">
        <v>156</v>
      </c>
      <c r="L67">
        <v>6250</v>
      </c>
      <c r="M67" t="s">
        <v>101</v>
      </c>
      <c r="N67" s="1">
        <v>45558</v>
      </c>
      <c r="O67" s="1">
        <v>45573</v>
      </c>
      <c r="P67" s="1">
        <v>45582</v>
      </c>
      <c r="Q67">
        <v>15</v>
      </c>
      <c r="R67">
        <v>24</v>
      </c>
      <c r="S67">
        <v>9</v>
      </c>
      <c r="T67" t="s">
        <v>42</v>
      </c>
      <c r="U67" t="s">
        <v>35</v>
      </c>
      <c r="V67" t="s">
        <v>36</v>
      </c>
      <c r="W67" t="s">
        <v>37</v>
      </c>
      <c r="X67" t="s">
        <v>38</v>
      </c>
    </row>
    <row r="68" spans="1:24" x14ac:dyDescent="0.3">
      <c r="A68" t="s">
        <v>157</v>
      </c>
      <c r="B68" t="s">
        <v>25</v>
      </c>
      <c r="C68" t="s">
        <v>71</v>
      </c>
      <c r="D68" t="s">
        <v>27</v>
      </c>
      <c r="E68" t="s">
        <v>28</v>
      </c>
      <c r="F68">
        <v>1</v>
      </c>
      <c r="G68" t="s">
        <v>29</v>
      </c>
      <c r="H68" t="s">
        <v>46</v>
      </c>
      <c r="I68" t="s">
        <v>90</v>
      </c>
      <c r="J68">
        <v>120</v>
      </c>
      <c r="K68" t="s">
        <v>32</v>
      </c>
      <c r="L68">
        <v>8943</v>
      </c>
      <c r="M68" t="s">
        <v>64</v>
      </c>
      <c r="N68" s="1">
        <v>45561</v>
      </c>
      <c r="O68" s="1">
        <v>45606</v>
      </c>
      <c r="P68" s="1">
        <v>45575</v>
      </c>
      <c r="Q68">
        <v>45</v>
      </c>
      <c r="R68">
        <v>14</v>
      </c>
      <c r="S68">
        <v>-31</v>
      </c>
      <c r="T68" t="s">
        <v>48</v>
      </c>
      <c r="U68" t="s">
        <v>49</v>
      </c>
      <c r="V68" t="s">
        <v>36</v>
      </c>
      <c r="W68" t="s">
        <v>37</v>
      </c>
      <c r="X68" t="s">
        <v>38</v>
      </c>
    </row>
    <row r="69" spans="1:24" x14ac:dyDescent="0.3">
      <c r="A69" t="s">
        <v>158</v>
      </c>
      <c r="B69" t="s">
        <v>25</v>
      </c>
      <c r="C69" t="s">
        <v>112</v>
      </c>
      <c r="D69" t="s">
        <v>45</v>
      </c>
      <c r="E69" t="s">
        <v>28</v>
      </c>
      <c r="F69">
        <v>1</v>
      </c>
      <c r="G69" t="s">
        <v>53</v>
      </c>
      <c r="H69" t="s">
        <v>54</v>
      </c>
      <c r="L69">
        <v>8433</v>
      </c>
      <c r="M69" t="s">
        <v>64</v>
      </c>
      <c r="N69" s="1">
        <v>45561</v>
      </c>
      <c r="O69" s="1">
        <v>45606</v>
      </c>
      <c r="P69" s="1"/>
      <c r="Q69">
        <v>45</v>
      </c>
      <c r="T69" t="s">
        <v>42</v>
      </c>
      <c r="U69" t="s">
        <v>35</v>
      </c>
      <c r="V69" t="s">
        <v>77</v>
      </c>
      <c r="W69" t="s">
        <v>37</v>
      </c>
      <c r="X69" t="s">
        <v>77</v>
      </c>
    </row>
    <row r="70" spans="1:24" x14ac:dyDescent="0.3">
      <c r="A70" t="s">
        <v>59</v>
      </c>
      <c r="B70" t="s">
        <v>60</v>
      </c>
      <c r="C70" t="s">
        <v>87</v>
      </c>
      <c r="D70" t="s">
        <v>27</v>
      </c>
      <c r="E70" t="s">
        <v>59</v>
      </c>
      <c r="F70">
        <v>1</v>
      </c>
      <c r="G70" t="s">
        <v>61</v>
      </c>
      <c r="H70" t="s">
        <v>153</v>
      </c>
      <c r="K70" t="s">
        <v>159</v>
      </c>
      <c r="L70">
        <v>14950</v>
      </c>
      <c r="M70" t="s">
        <v>33</v>
      </c>
      <c r="N70" s="1">
        <v>45561</v>
      </c>
      <c r="O70" s="1">
        <v>45579</v>
      </c>
      <c r="P70" s="1">
        <v>45578</v>
      </c>
      <c r="Q70">
        <v>18</v>
      </c>
      <c r="R70">
        <v>17</v>
      </c>
      <c r="S70">
        <v>-1</v>
      </c>
      <c r="T70" t="s">
        <v>48</v>
      </c>
      <c r="U70" t="s">
        <v>49</v>
      </c>
      <c r="V70" t="s">
        <v>36</v>
      </c>
      <c r="W70" t="s">
        <v>37</v>
      </c>
      <c r="X70" t="s">
        <v>38</v>
      </c>
    </row>
    <row r="71" spans="1:24" x14ac:dyDescent="0.3">
      <c r="A71" t="s">
        <v>59</v>
      </c>
      <c r="B71" t="s">
        <v>60</v>
      </c>
      <c r="C71" t="s">
        <v>51</v>
      </c>
      <c r="D71" t="s">
        <v>51</v>
      </c>
      <c r="E71" t="s">
        <v>59</v>
      </c>
      <c r="F71">
        <v>1</v>
      </c>
      <c r="G71" t="s">
        <v>29</v>
      </c>
      <c r="H71" t="s">
        <v>68</v>
      </c>
      <c r="I71" t="s">
        <v>89</v>
      </c>
      <c r="J71">
        <v>100</v>
      </c>
      <c r="K71" t="s">
        <v>41</v>
      </c>
      <c r="L71">
        <v>9608</v>
      </c>
      <c r="M71" t="s">
        <v>64</v>
      </c>
      <c r="N71" s="1">
        <v>45561</v>
      </c>
      <c r="O71" s="1">
        <v>45579</v>
      </c>
      <c r="P71" s="1"/>
      <c r="Q71">
        <v>18</v>
      </c>
      <c r="T71" t="s">
        <v>42</v>
      </c>
      <c r="U71" t="s">
        <v>35</v>
      </c>
      <c r="V71" t="s">
        <v>77</v>
      </c>
      <c r="W71" t="s">
        <v>37</v>
      </c>
      <c r="X71" t="s">
        <v>77</v>
      </c>
    </row>
    <row r="72" spans="1:24" x14ac:dyDescent="0.3">
      <c r="A72" t="s">
        <v>59</v>
      </c>
      <c r="B72" t="s">
        <v>60</v>
      </c>
      <c r="C72" t="s">
        <v>51</v>
      </c>
      <c r="D72" t="s">
        <v>51</v>
      </c>
      <c r="E72" t="s">
        <v>59</v>
      </c>
      <c r="F72">
        <v>1</v>
      </c>
      <c r="G72" t="s">
        <v>29</v>
      </c>
      <c r="H72" t="s">
        <v>46</v>
      </c>
      <c r="I72" t="s">
        <v>47</v>
      </c>
      <c r="J72">
        <v>120</v>
      </c>
      <c r="K72" t="s">
        <v>32</v>
      </c>
      <c r="L72">
        <v>7433</v>
      </c>
      <c r="M72" t="s">
        <v>33</v>
      </c>
      <c r="N72" s="1">
        <v>45564</v>
      </c>
      <c r="O72" s="1">
        <v>45585</v>
      </c>
      <c r="P72" s="1">
        <v>45586</v>
      </c>
      <c r="Q72">
        <v>21</v>
      </c>
      <c r="R72">
        <v>22</v>
      </c>
      <c r="S72">
        <v>1</v>
      </c>
      <c r="T72" t="s">
        <v>34</v>
      </c>
      <c r="U72" t="s">
        <v>35</v>
      </c>
      <c r="V72" t="s">
        <v>36</v>
      </c>
      <c r="W72" t="s">
        <v>37</v>
      </c>
      <c r="X72" t="s">
        <v>38</v>
      </c>
    </row>
    <row r="73" spans="1:24" x14ac:dyDescent="0.3">
      <c r="A73" t="s">
        <v>98</v>
      </c>
      <c r="B73" t="s">
        <v>60</v>
      </c>
      <c r="C73" t="s">
        <v>155</v>
      </c>
      <c r="D73" t="s">
        <v>45</v>
      </c>
      <c r="E73" t="s">
        <v>88</v>
      </c>
      <c r="F73">
        <v>1</v>
      </c>
      <c r="G73" t="s">
        <v>29</v>
      </c>
      <c r="H73" t="s">
        <v>46</v>
      </c>
      <c r="I73" t="s">
        <v>90</v>
      </c>
      <c r="J73">
        <v>120</v>
      </c>
      <c r="K73" t="s">
        <v>32</v>
      </c>
      <c r="L73">
        <v>4020</v>
      </c>
      <c r="M73" t="s">
        <v>101</v>
      </c>
      <c r="N73" s="1">
        <v>45564</v>
      </c>
      <c r="O73" s="1">
        <v>45577</v>
      </c>
      <c r="P73" s="1">
        <v>45577</v>
      </c>
      <c r="Q73">
        <v>13</v>
      </c>
      <c r="R73">
        <v>13</v>
      </c>
      <c r="S73">
        <v>0</v>
      </c>
      <c r="T73" t="s">
        <v>34</v>
      </c>
      <c r="U73" t="s">
        <v>160</v>
      </c>
      <c r="V73" t="s">
        <v>36</v>
      </c>
      <c r="W73" t="s">
        <v>37</v>
      </c>
      <c r="X73" t="s">
        <v>38</v>
      </c>
    </row>
    <row r="74" spans="1:24" x14ac:dyDescent="0.3">
      <c r="A74" t="s">
        <v>161</v>
      </c>
      <c r="B74" t="s">
        <v>25</v>
      </c>
      <c r="C74" t="s">
        <v>51</v>
      </c>
      <c r="D74" t="s">
        <v>67</v>
      </c>
      <c r="E74" t="s">
        <v>67</v>
      </c>
      <c r="F74">
        <v>1</v>
      </c>
      <c r="G74" t="s">
        <v>29</v>
      </c>
      <c r="H74" t="s">
        <v>68</v>
      </c>
      <c r="I74" t="s">
        <v>162</v>
      </c>
      <c r="J74">
        <v>100</v>
      </c>
      <c r="L74">
        <v>9608</v>
      </c>
      <c r="N74" s="1">
        <v>45566</v>
      </c>
      <c r="O74" s="1">
        <v>45574</v>
      </c>
      <c r="P74" s="1">
        <v>45574</v>
      </c>
      <c r="Q74">
        <v>8</v>
      </c>
      <c r="R74">
        <v>8</v>
      </c>
      <c r="S74">
        <v>0</v>
      </c>
      <c r="T74" t="s">
        <v>34</v>
      </c>
      <c r="U74" t="s">
        <v>160</v>
      </c>
      <c r="V74" t="s">
        <v>163</v>
      </c>
      <c r="W74" t="s">
        <v>37</v>
      </c>
      <c r="X74" t="s">
        <v>38</v>
      </c>
    </row>
    <row r="75" spans="1:24" x14ac:dyDescent="0.3">
      <c r="A75" t="s">
        <v>161</v>
      </c>
      <c r="B75" t="s">
        <v>25</v>
      </c>
      <c r="C75" t="s">
        <v>51</v>
      </c>
      <c r="D75" t="s">
        <v>67</v>
      </c>
      <c r="E75" t="s">
        <v>67</v>
      </c>
      <c r="F75">
        <v>1</v>
      </c>
      <c r="G75" t="s">
        <v>29</v>
      </c>
      <c r="H75" t="s">
        <v>127</v>
      </c>
      <c r="K75" t="s">
        <v>41</v>
      </c>
      <c r="L75">
        <v>4600</v>
      </c>
      <c r="N75" s="1">
        <v>45566</v>
      </c>
      <c r="O75" s="1">
        <v>45574</v>
      </c>
      <c r="P75" s="1">
        <v>45574</v>
      </c>
      <c r="Q75">
        <v>8</v>
      </c>
      <c r="R75">
        <v>8</v>
      </c>
      <c r="S75">
        <v>0</v>
      </c>
      <c r="T75" t="s">
        <v>34</v>
      </c>
      <c r="U75" t="s">
        <v>160</v>
      </c>
      <c r="V75" t="s">
        <v>163</v>
      </c>
      <c r="W75" t="s">
        <v>37</v>
      </c>
      <c r="X75" t="s">
        <v>38</v>
      </c>
    </row>
    <row r="76" spans="1:24" x14ac:dyDescent="0.3">
      <c r="A76" t="s">
        <v>161</v>
      </c>
      <c r="B76" t="s">
        <v>25</v>
      </c>
      <c r="C76" t="s">
        <v>51</v>
      </c>
      <c r="D76" t="s">
        <v>67</v>
      </c>
      <c r="E76" t="s">
        <v>67</v>
      </c>
      <c r="F76">
        <v>1</v>
      </c>
      <c r="G76" t="s">
        <v>61</v>
      </c>
      <c r="I76" t="s">
        <v>92</v>
      </c>
      <c r="K76" t="s">
        <v>41</v>
      </c>
      <c r="L76">
        <v>10000</v>
      </c>
      <c r="N76" s="1">
        <v>45566</v>
      </c>
      <c r="O76" s="1">
        <v>45574</v>
      </c>
      <c r="P76" s="1">
        <v>45574</v>
      </c>
      <c r="Q76">
        <v>8</v>
      </c>
      <c r="R76">
        <v>8</v>
      </c>
      <c r="S76">
        <v>0</v>
      </c>
      <c r="T76" t="s">
        <v>34</v>
      </c>
      <c r="U76" t="s">
        <v>160</v>
      </c>
      <c r="V76" t="s">
        <v>163</v>
      </c>
      <c r="W76" t="s">
        <v>37</v>
      </c>
      <c r="X76" t="s">
        <v>38</v>
      </c>
    </row>
    <row r="77" spans="1:24" x14ac:dyDescent="0.3">
      <c r="A77" t="s">
        <v>161</v>
      </c>
      <c r="B77" t="s">
        <v>25</v>
      </c>
      <c r="C77" t="s">
        <v>51</v>
      </c>
      <c r="D77" t="s">
        <v>67</v>
      </c>
      <c r="E77" t="s">
        <v>67</v>
      </c>
      <c r="F77">
        <v>1</v>
      </c>
      <c r="G77" t="s">
        <v>164</v>
      </c>
      <c r="K77" t="s">
        <v>41</v>
      </c>
      <c r="L77">
        <v>5500</v>
      </c>
      <c r="N77" s="1">
        <v>45566</v>
      </c>
      <c r="O77" s="1">
        <v>45574</v>
      </c>
      <c r="P77" s="1">
        <v>45574</v>
      </c>
      <c r="Q77">
        <v>8</v>
      </c>
      <c r="R77">
        <v>8</v>
      </c>
      <c r="S77">
        <v>0</v>
      </c>
      <c r="T77" t="s">
        <v>34</v>
      </c>
      <c r="U77" t="s">
        <v>160</v>
      </c>
      <c r="V77" t="s">
        <v>163</v>
      </c>
      <c r="W77" t="s">
        <v>37</v>
      </c>
      <c r="X77" t="s">
        <v>38</v>
      </c>
    </row>
    <row r="78" spans="1:24" x14ac:dyDescent="0.3">
      <c r="A78" t="s">
        <v>165</v>
      </c>
      <c r="B78" t="s">
        <v>25</v>
      </c>
      <c r="C78" t="s">
        <v>166</v>
      </c>
      <c r="D78" t="s">
        <v>27</v>
      </c>
      <c r="E78" t="s">
        <v>28</v>
      </c>
      <c r="F78">
        <v>1</v>
      </c>
      <c r="G78" t="s">
        <v>29</v>
      </c>
      <c r="H78" t="s">
        <v>127</v>
      </c>
      <c r="K78" t="s">
        <v>41</v>
      </c>
      <c r="L78">
        <v>8988</v>
      </c>
      <c r="M78" t="s">
        <v>64</v>
      </c>
      <c r="N78" s="1">
        <v>45568</v>
      </c>
      <c r="O78" s="1">
        <v>45613</v>
      </c>
      <c r="P78" s="1"/>
      <c r="Q78">
        <v>45</v>
      </c>
      <c r="T78" t="s">
        <v>42</v>
      </c>
      <c r="U78" t="s">
        <v>35</v>
      </c>
      <c r="V78" t="s">
        <v>74</v>
      </c>
      <c r="W78" t="s">
        <v>74</v>
      </c>
      <c r="X78" t="s">
        <v>38</v>
      </c>
    </row>
    <row r="79" spans="1:24" x14ac:dyDescent="0.3">
      <c r="A79" t="s">
        <v>59</v>
      </c>
      <c r="B79" t="s">
        <v>60</v>
      </c>
      <c r="C79" t="s">
        <v>51</v>
      </c>
      <c r="D79" t="s">
        <v>51</v>
      </c>
      <c r="E79" t="s">
        <v>59</v>
      </c>
      <c r="F79">
        <v>1</v>
      </c>
      <c r="G79" t="s">
        <v>61</v>
      </c>
      <c r="H79" t="s">
        <v>153</v>
      </c>
      <c r="K79" t="s">
        <v>41</v>
      </c>
      <c r="L79">
        <v>14550</v>
      </c>
      <c r="M79" t="s">
        <v>33</v>
      </c>
      <c r="N79" s="1">
        <v>45573</v>
      </c>
      <c r="O79" s="1">
        <v>45594</v>
      </c>
      <c r="P79" s="1">
        <v>45595</v>
      </c>
      <c r="Q79">
        <v>21</v>
      </c>
      <c r="R79">
        <v>22</v>
      </c>
      <c r="S79">
        <v>1</v>
      </c>
      <c r="T79" t="s">
        <v>34</v>
      </c>
      <c r="U79" t="s">
        <v>35</v>
      </c>
      <c r="V79" t="s">
        <v>36</v>
      </c>
      <c r="W79" t="s">
        <v>37</v>
      </c>
      <c r="X79" t="s">
        <v>38</v>
      </c>
    </row>
    <row r="80" spans="1:24" x14ac:dyDescent="0.3">
      <c r="A80" t="s">
        <v>59</v>
      </c>
      <c r="B80" t="s">
        <v>60</v>
      </c>
      <c r="C80" t="s">
        <v>112</v>
      </c>
      <c r="D80" t="s">
        <v>45</v>
      </c>
      <c r="E80" t="s">
        <v>59</v>
      </c>
      <c r="F80">
        <v>1</v>
      </c>
      <c r="G80" t="s">
        <v>61</v>
      </c>
      <c r="H80" t="s">
        <v>153</v>
      </c>
      <c r="K80" t="s">
        <v>41</v>
      </c>
      <c r="L80">
        <v>14550</v>
      </c>
      <c r="M80" t="s">
        <v>33</v>
      </c>
      <c r="N80" s="1">
        <v>45572</v>
      </c>
      <c r="O80" s="1">
        <v>45594</v>
      </c>
      <c r="P80" s="1">
        <v>45580</v>
      </c>
      <c r="Q80">
        <v>22</v>
      </c>
      <c r="R80">
        <v>8</v>
      </c>
      <c r="S80">
        <v>-14</v>
      </c>
      <c r="T80" t="s">
        <v>48</v>
      </c>
      <c r="U80" t="s">
        <v>49</v>
      </c>
      <c r="V80" t="s">
        <v>36</v>
      </c>
      <c r="W80" t="s">
        <v>37</v>
      </c>
      <c r="X80" t="s">
        <v>38</v>
      </c>
    </row>
    <row r="81" spans="1:24" x14ac:dyDescent="0.3">
      <c r="A81" t="s">
        <v>59</v>
      </c>
      <c r="B81" t="s">
        <v>60</v>
      </c>
      <c r="C81" t="s">
        <v>51</v>
      </c>
      <c r="D81" t="s">
        <v>51</v>
      </c>
      <c r="E81" t="s">
        <v>59</v>
      </c>
      <c r="F81">
        <v>1</v>
      </c>
      <c r="G81" t="s">
        <v>61</v>
      </c>
      <c r="H81" t="s">
        <v>153</v>
      </c>
      <c r="K81" t="s">
        <v>41</v>
      </c>
      <c r="L81">
        <v>14550</v>
      </c>
      <c r="M81" t="s">
        <v>64</v>
      </c>
      <c r="N81" s="1">
        <v>45575</v>
      </c>
      <c r="O81" s="1">
        <v>45596</v>
      </c>
      <c r="P81" s="1">
        <v>45598</v>
      </c>
      <c r="Q81">
        <v>21</v>
      </c>
      <c r="R81">
        <v>23</v>
      </c>
      <c r="S81">
        <v>2</v>
      </c>
      <c r="T81" t="s">
        <v>34</v>
      </c>
      <c r="U81" t="s">
        <v>35</v>
      </c>
      <c r="V81" t="s">
        <v>36</v>
      </c>
      <c r="W81" t="s">
        <v>37</v>
      </c>
      <c r="X81" t="s">
        <v>38</v>
      </c>
    </row>
    <row r="82" spans="1:24" x14ac:dyDescent="0.3">
      <c r="A82" t="s">
        <v>167</v>
      </c>
      <c r="B82" t="s">
        <v>25</v>
      </c>
      <c r="C82" t="s">
        <v>58</v>
      </c>
      <c r="D82" t="s">
        <v>27</v>
      </c>
      <c r="E82" t="s">
        <v>28</v>
      </c>
      <c r="F82">
        <v>1</v>
      </c>
      <c r="G82" t="s">
        <v>29</v>
      </c>
      <c r="H82" t="s">
        <v>68</v>
      </c>
      <c r="I82" t="s">
        <v>168</v>
      </c>
      <c r="J82" t="s">
        <v>169</v>
      </c>
      <c r="K82" t="s">
        <v>170</v>
      </c>
      <c r="L82">
        <v>13028</v>
      </c>
      <c r="M82" t="s">
        <v>64</v>
      </c>
      <c r="N82" s="1">
        <v>45578</v>
      </c>
      <c r="O82" s="1">
        <v>45643</v>
      </c>
      <c r="P82" s="1">
        <v>45598</v>
      </c>
      <c r="Q82">
        <v>65</v>
      </c>
      <c r="R82">
        <v>20</v>
      </c>
      <c r="S82">
        <v>-45</v>
      </c>
      <c r="T82" t="s">
        <v>48</v>
      </c>
      <c r="U82" t="s">
        <v>49</v>
      </c>
      <c r="V82" t="s">
        <v>36</v>
      </c>
      <c r="W82" t="s">
        <v>37</v>
      </c>
      <c r="X82" t="s">
        <v>38</v>
      </c>
    </row>
    <row r="83" spans="1:24" x14ac:dyDescent="0.3">
      <c r="A83" t="s">
        <v>171</v>
      </c>
      <c r="B83" t="s">
        <v>25</v>
      </c>
      <c r="C83" t="s">
        <v>104</v>
      </c>
      <c r="D83" t="s">
        <v>27</v>
      </c>
      <c r="E83" t="s">
        <v>28</v>
      </c>
      <c r="F83">
        <v>1</v>
      </c>
      <c r="G83" t="s">
        <v>29</v>
      </c>
      <c r="H83" t="s">
        <v>68</v>
      </c>
      <c r="I83" t="s">
        <v>31</v>
      </c>
      <c r="J83">
        <v>80</v>
      </c>
      <c r="K83" t="s">
        <v>32</v>
      </c>
      <c r="L83">
        <v>10499</v>
      </c>
      <c r="M83" t="s">
        <v>33</v>
      </c>
      <c r="N83" s="1">
        <v>45581</v>
      </c>
      <c r="O83" s="1">
        <v>45645</v>
      </c>
      <c r="P83" s="1">
        <v>45586</v>
      </c>
      <c r="Q83">
        <v>64</v>
      </c>
      <c r="R83">
        <v>5</v>
      </c>
      <c r="S83">
        <v>-59</v>
      </c>
      <c r="T83" t="s">
        <v>48</v>
      </c>
      <c r="U83" t="s">
        <v>49</v>
      </c>
      <c r="V83" t="s">
        <v>36</v>
      </c>
      <c r="W83" t="s">
        <v>37</v>
      </c>
      <c r="X83" t="s">
        <v>38</v>
      </c>
    </row>
    <row r="84" spans="1:24" x14ac:dyDescent="0.3">
      <c r="A84" t="s">
        <v>172</v>
      </c>
      <c r="B84" t="s">
        <v>25</v>
      </c>
      <c r="C84" t="s">
        <v>173</v>
      </c>
      <c r="D84" t="s">
        <v>107</v>
      </c>
      <c r="E84" t="s">
        <v>28</v>
      </c>
      <c r="F84">
        <v>1</v>
      </c>
      <c r="G84" t="s">
        <v>29</v>
      </c>
      <c r="H84" t="s">
        <v>68</v>
      </c>
      <c r="I84" t="s">
        <v>97</v>
      </c>
      <c r="J84" t="s">
        <v>169</v>
      </c>
      <c r="K84" t="s">
        <v>170</v>
      </c>
      <c r="L84">
        <v>12899</v>
      </c>
      <c r="M84" t="s">
        <v>33</v>
      </c>
      <c r="N84" s="1">
        <v>45582</v>
      </c>
      <c r="O84" s="1">
        <v>45648</v>
      </c>
      <c r="P84" s="1">
        <v>45629</v>
      </c>
      <c r="Q84">
        <v>66</v>
      </c>
      <c r="R84">
        <v>47</v>
      </c>
      <c r="S84">
        <v>-19</v>
      </c>
      <c r="T84" t="s">
        <v>48</v>
      </c>
      <c r="U84" t="s">
        <v>49</v>
      </c>
      <c r="V84" t="s">
        <v>55</v>
      </c>
      <c r="W84" t="s">
        <v>56</v>
      </c>
      <c r="X84" t="s">
        <v>38</v>
      </c>
    </row>
    <row r="85" spans="1:24" x14ac:dyDescent="0.3">
      <c r="A85" t="s">
        <v>174</v>
      </c>
      <c r="B85" t="s">
        <v>25</v>
      </c>
      <c r="C85" t="s">
        <v>87</v>
      </c>
      <c r="D85" t="s">
        <v>27</v>
      </c>
      <c r="E85" t="s">
        <v>175</v>
      </c>
      <c r="F85">
        <v>1</v>
      </c>
      <c r="G85" t="s">
        <v>29</v>
      </c>
      <c r="H85" t="s">
        <v>46</v>
      </c>
      <c r="I85" t="s">
        <v>176</v>
      </c>
      <c r="J85">
        <v>140</v>
      </c>
      <c r="K85" t="s">
        <v>159</v>
      </c>
      <c r="L85">
        <v>5135</v>
      </c>
      <c r="M85" t="s">
        <v>33</v>
      </c>
      <c r="N85" s="1">
        <v>45585</v>
      </c>
      <c r="O85" s="1">
        <v>45613</v>
      </c>
      <c r="P85" s="1">
        <v>45610</v>
      </c>
      <c r="Q85">
        <v>28</v>
      </c>
      <c r="R85">
        <v>25</v>
      </c>
      <c r="S85">
        <v>-3</v>
      </c>
      <c r="T85" t="s">
        <v>48</v>
      </c>
      <c r="U85" t="s">
        <v>49</v>
      </c>
      <c r="V85" t="s">
        <v>36</v>
      </c>
      <c r="W85" t="s">
        <v>37</v>
      </c>
      <c r="X85" t="s">
        <v>38</v>
      </c>
    </row>
    <row r="86" spans="1:24" x14ac:dyDescent="0.3">
      <c r="A86" t="s">
        <v>59</v>
      </c>
      <c r="B86" t="s">
        <v>60</v>
      </c>
      <c r="C86" t="s">
        <v>112</v>
      </c>
      <c r="D86" t="s">
        <v>45</v>
      </c>
      <c r="E86" t="s">
        <v>59</v>
      </c>
      <c r="F86">
        <v>1</v>
      </c>
      <c r="G86" t="s">
        <v>29</v>
      </c>
      <c r="H86" t="s">
        <v>68</v>
      </c>
      <c r="I86" t="s">
        <v>162</v>
      </c>
      <c r="J86">
        <v>100</v>
      </c>
      <c r="L86">
        <v>12777.5</v>
      </c>
      <c r="M86" t="s">
        <v>64</v>
      </c>
      <c r="N86" s="1">
        <v>45587</v>
      </c>
      <c r="O86" s="1">
        <v>45608</v>
      </c>
      <c r="P86" s="1">
        <v>45614</v>
      </c>
      <c r="Q86">
        <v>21</v>
      </c>
      <c r="R86">
        <v>27</v>
      </c>
      <c r="S86">
        <v>6</v>
      </c>
      <c r="T86" t="s">
        <v>42</v>
      </c>
      <c r="U86" t="s">
        <v>35</v>
      </c>
      <c r="V86" t="s">
        <v>36</v>
      </c>
      <c r="W86" t="s">
        <v>37</v>
      </c>
      <c r="X86" t="s">
        <v>38</v>
      </c>
    </row>
    <row r="87" spans="1:24" x14ac:dyDescent="0.3">
      <c r="A87" t="s">
        <v>98</v>
      </c>
      <c r="B87" t="s">
        <v>60</v>
      </c>
      <c r="C87" t="s">
        <v>95</v>
      </c>
      <c r="D87" t="s">
        <v>27</v>
      </c>
      <c r="E87" t="s">
        <v>88</v>
      </c>
      <c r="F87">
        <v>1</v>
      </c>
      <c r="G87" t="s">
        <v>29</v>
      </c>
      <c r="H87" t="s">
        <v>68</v>
      </c>
      <c r="I87" t="s">
        <v>162</v>
      </c>
      <c r="J87">
        <v>100</v>
      </c>
      <c r="L87">
        <v>8544.91</v>
      </c>
      <c r="M87" t="s">
        <v>101</v>
      </c>
      <c r="N87" s="1">
        <v>45587</v>
      </c>
      <c r="O87" s="1"/>
      <c r="P87" s="1"/>
      <c r="T87" t="s">
        <v>42</v>
      </c>
      <c r="U87" t="s">
        <v>35</v>
      </c>
      <c r="V87" t="s">
        <v>77</v>
      </c>
      <c r="W87" t="s">
        <v>37</v>
      </c>
      <c r="X87" t="s">
        <v>77</v>
      </c>
    </row>
    <row r="88" spans="1:24" x14ac:dyDescent="0.3">
      <c r="A88" t="s">
        <v>177</v>
      </c>
      <c r="B88" t="s">
        <v>25</v>
      </c>
      <c r="C88" t="s">
        <v>112</v>
      </c>
      <c r="D88" t="s">
        <v>45</v>
      </c>
      <c r="E88" t="s">
        <v>28</v>
      </c>
      <c r="F88">
        <v>1</v>
      </c>
      <c r="G88" t="s">
        <v>29</v>
      </c>
      <c r="H88" t="s">
        <v>46</v>
      </c>
      <c r="I88" t="s">
        <v>90</v>
      </c>
      <c r="J88">
        <v>120</v>
      </c>
      <c r="K88" t="s">
        <v>32</v>
      </c>
      <c r="L88">
        <v>9007</v>
      </c>
      <c r="M88" t="s">
        <v>64</v>
      </c>
      <c r="N88" s="1">
        <v>45586</v>
      </c>
      <c r="O88" s="1">
        <v>45610</v>
      </c>
      <c r="P88" s="1">
        <v>45614</v>
      </c>
      <c r="Q88">
        <v>24</v>
      </c>
      <c r="R88">
        <v>28</v>
      </c>
      <c r="S88">
        <v>4</v>
      </c>
      <c r="T88" t="s">
        <v>42</v>
      </c>
      <c r="U88" t="s">
        <v>35</v>
      </c>
      <c r="V88" t="s">
        <v>36</v>
      </c>
      <c r="W88" t="s">
        <v>37</v>
      </c>
      <c r="X88" t="s">
        <v>38</v>
      </c>
    </row>
    <row r="89" spans="1:24" x14ac:dyDescent="0.3">
      <c r="A89" t="s">
        <v>59</v>
      </c>
      <c r="B89" t="s">
        <v>60</v>
      </c>
      <c r="C89" t="s">
        <v>51</v>
      </c>
      <c r="D89" t="s">
        <v>51</v>
      </c>
      <c r="E89" t="s">
        <v>59</v>
      </c>
      <c r="F89">
        <v>1</v>
      </c>
      <c r="G89" t="s">
        <v>61</v>
      </c>
      <c r="H89" t="s">
        <v>153</v>
      </c>
      <c r="K89" t="s">
        <v>41</v>
      </c>
      <c r="L89">
        <v>15516</v>
      </c>
      <c r="M89" t="s">
        <v>33</v>
      </c>
      <c r="N89" s="1">
        <v>45589</v>
      </c>
      <c r="O89" s="1">
        <v>45610</v>
      </c>
      <c r="P89" s="1">
        <v>45595</v>
      </c>
      <c r="Q89">
        <v>21</v>
      </c>
      <c r="R89">
        <v>6</v>
      </c>
      <c r="S89">
        <v>-15</v>
      </c>
      <c r="T89" t="s">
        <v>48</v>
      </c>
      <c r="U89" t="s">
        <v>49</v>
      </c>
      <c r="V89" t="s">
        <v>36</v>
      </c>
      <c r="W89" t="s">
        <v>37</v>
      </c>
      <c r="X89" t="s">
        <v>38</v>
      </c>
    </row>
    <row r="90" spans="1:24" x14ac:dyDescent="0.3">
      <c r="A90" t="s">
        <v>59</v>
      </c>
      <c r="B90" t="s">
        <v>60</v>
      </c>
      <c r="C90" t="s">
        <v>51</v>
      </c>
      <c r="D90" t="s">
        <v>51</v>
      </c>
      <c r="E90" t="s">
        <v>59</v>
      </c>
      <c r="F90">
        <v>1</v>
      </c>
      <c r="G90" t="s">
        <v>29</v>
      </c>
      <c r="H90" t="s">
        <v>68</v>
      </c>
      <c r="I90" t="s">
        <v>89</v>
      </c>
      <c r="J90">
        <v>100</v>
      </c>
      <c r="K90" t="s">
        <v>41</v>
      </c>
      <c r="L90">
        <v>10045</v>
      </c>
      <c r="M90" t="s">
        <v>64</v>
      </c>
      <c r="N90" s="1">
        <v>45591</v>
      </c>
      <c r="O90" s="1">
        <v>45612</v>
      </c>
      <c r="P90" s="1"/>
      <c r="Q90">
        <v>21</v>
      </c>
      <c r="T90" t="s">
        <v>42</v>
      </c>
      <c r="U90" t="s">
        <v>35</v>
      </c>
      <c r="V90" t="s">
        <v>77</v>
      </c>
      <c r="W90" t="s">
        <v>37</v>
      </c>
      <c r="X90" t="s">
        <v>77</v>
      </c>
    </row>
    <row r="91" spans="1:24" x14ac:dyDescent="0.3">
      <c r="A91" t="s">
        <v>142</v>
      </c>
      <c r="B91" t="s">
        <v>25</v>
      </c>
      <c r="C91" t="s">
        <v>44</v>
      </c>
      <c r="D91" t="s">
        <v>45</v>
      </c>
      <c r="E91" t="s">
        <v>28</v>
      </c>
      <c r="F91">
        <v>1</v>
      </c>
      <c r="G91" t="s">
        <v>29</v>
      </c>
      <c r="H91" t="s">
        <v>68</v>
      </c>
      <c r="I91" t="s">
        <v>89</v>
      </c>
      <c r="J91">
        <v>90</v>
      </c>
      <c r="K91" t="s">
        <v>41</v>
      </c>
      <c r="L91">
        <v>11749</v>
      </c>
      <c r="M91" t="s">
        <v>64</v>
      </c>
      <c r="N91" s="1">
        <v>45591</v>
      </c>
      <c r="O91" s="1">
        <v>45606</v>
      </c>
      <c r="P91" s="1">
        <v>45614</v>
      </c>
      <c r="Q91">
        <v>15</v>
      </c>
      <c r="R91">
        <v>23</v>
      </c>
      <c r="S91">
        <v>8</v>
      </c>
      <c r="T91" t="s">
        <v>42</v>
      </c>
      <c r="U91" t="s">
        <v>35</v>
      </c>
      <c r="V91" t="s">
        <v>36</v>
      </c>
      <c r="W91" t="s">
        <v>37</v>
      </c>
      <c r="X91" t="s">
        <v>38</v>
      </c>
    </row>
    <row r="92" spans="1:24" x14ac:dyDescent="0.3">
      <c r="A92" t="s">
        <v>142</v>
      </c>
      <c r="B92" t="s">
        <v>25</v>
      </c>
      <c r="C92" t="s">
        <v>44</v>
      </c>
      <c r="D92" t="s">
        <v>45</v>
      </c>
      <c r="E92" t="s">
        <v>28</v>
      </c>
      <c r="F92">
        <v>1</v>
      </c>
      <c r="G92" t="s">
        <v>29</v>
      </c>
      <c r="H92" t="s">
        <v>68</v>
      </c>
      <c r="I92" t="s">
        <v>89</v>
      </c>
      <c r="J92">
        <v>90</v>
      </c>
      <c r="K92" t="s">
        <v>41</v>
      </c>
      <c r="L92">
        <v>11749</v>
      </c>
      <c r="M92" t="s">
        <v>64</v>
      </c>
      <c r="N92" s="1">
        <v>45591</v>
      </c>
      <c r="O92" s="1">
        <v>45606</v>
      </c>
      <c r="P92" s="1">
        <v>45614</v>
      </c>
      <c r="Q92">
        <v>15</v>
      </c>
      <c r="R92">
        <v>23</v>
      </c>
      <c r="S92">
        <v>8</v>
      </c>
      <c r="T92" t="s">
        <v>42</v>
      </c>
      <c r="U92" t="s">
        <v>35</v>
      </c>
      <c r="V92" t="s">
        <v>36</v>
      </c>
      <c r="W92" t="s">
        <v>37</v>
      </c>
      <c r="X92" t="s">
        <v>38</v>
      </c>
    </row>
    <row r="93" spans="1:24" x14ac:dyDescent="0.3">
      <c r="A93" t="s">
        <v>178</v>
      </c>
      <c r="B93" t="s">
        <v>60</v>
      </c>
      <c r="C93" t="s">
        <v>40</v>
      </c>
      <c r="D93" t="s">
        <v>27</v>
      </c>
      <c r="E93" t="s">
        <v>28</v>
      </c>
      <c r="F93">
        <v>1</v>
      </c>
      <c r="G93" t="s">
        <v>29</v>
      </c>
      <c r="H93" t="s">
        <v>46</v>
      </c>
      <c r="I93" t="s">
        <v>47</v>
      </c>
      <c r="J93">
        <v>100</v>
      </c>
      <c r="K93" t="s">
        <v>32</v>
      </c>
      <c r="L93">
        <v>4800</v>
      </c>
      <c r="M93" t="s">
        <v>64</v>
      </c>
      <c r="N93" s="1">
        <v>45593</v>
      </c>
      <c r="O93" s="1">
        <v>45607</v>
      </c>
      <c r="P93" s="1">
        <v>45617</v>
      </c>
      <c r="Q93">
        <v>14</v>
      </c>
      <c r="R93">
        <v>24</v>
      </c>
      <c r="S93">
        <v>10</v>
      </c>
      <c r="T93" t="s">
        <v>42</v>
      </c>
      <c r="U93" t="s">
        <v>35</v>
      </c>
      <c r="V93" t="s">
        <v>36</v>
      </c>
      <c r="W93" t="s">
        <v>37</v>
      </c>
      <c r="X93" t="s">
        <v>38</v>
      </c>
    </row>
    <row r="94" spans="1:24" x14ac:dyDescent="0.3">
      <c r="A94" t="s">
        <v>178</v>
      </c>
      <c r="B94" t="s">
        <v>60</v>
      </c>
      <c r="C94" t="s">
        <v>40</v>
      </c>
      <c r="D94" t="s">
        <v>27</v>
      </c>
      <c r="E94" t="s">
        <v>28</v>
      </c>
      <c r="F94">
        <v>1</v>
      </c>
      <c r="G94" t="s">
        <v>29</v>
      </c>
      <c r="H94" t="s">
        <v>46</v>
      </c>
      <c r="I94" t="s">
        <v>47</v>
      </c>
      <c r="J94">
        <v>120</v>
      </c>
      <c r="K94" t="s">
        <v>32</v>
      </c>
      <c r="L94">
        <v>5000</v>
      </c>
      <c r="M94" t="s">
        <v>64</v>
      </c>
      <c r="N94" s="1">
        <v>45593</v>
      </c>
      <c r="O94" s="1">
        <v>45607</v>
      </c>
      <c r="P94" s="1">
        <v>45617</v>
      </c>
      <c r="Q94">
        <v>14</v>
      </c>
      <c r="R94">
        <v>24</v>
      </c>
      <c r="S94">
        <v>10</v>
      </c>
      <c r="T94" t="s">
        <v>42</v>
      </c>
      <c r="U94" t="s">
        <v>35</v>
      </c>
      <c r="V94" t="s">
        <v>36</v>
      </c>
      <c r="W94" t="s">
        <v>37</v>
      </c>
      <c r="X94" t="s">
        <v>38</v>
      </c>
    </row>
    <row r="95" spans="1:24" x14ac:dyDescent="0.3">
      <c r="A95" t="s">
        <v>179</v>
      </c>
      <c r="B95" t="s">
        <v>25</v>
      </c>
      <c r="C95" t="s">
        <v>180</v>
      </c>
      <c r="D95" t="s">
        <v>27</v>
      </c>
      <c r="E95" t="s">
        <v>28</v>
      </c>
      <c r="F95">
        <v>1</v>
      </c>
      <c r="G95" t="s">
        <v>29</v>
      </c>
      <c r="H95" t="s">
        <v>68</v>
      </c>
      <c r="I95" t="s">
        <v>31</v>
      </c>
      <c r="J95">
        <v>80</v>
      </c>
      <c r="K95" t="s">
        <v>32</v>
      </c>
      <c r="L95">
        <v>12099</v>
      </c>
      <c r="M95" t="s">
        <v>33</v>
      </c>
      <c r="N95" s="1">
        <v>45607</v>
      </c>
      <c r="O95" s="1">
        <v>45622</v>
      </c>
      <c r="P95" s="1">
        <v>45623</v>
      </c>
      <c r="Q95">
        <v>15</v>
      </c>
      <c r="R95">
        <v>16</v>
      </c>
      <c r="S95">
        <v>1</v>
      </c>
      <c r="T95" t="s">
        <v>34</v>
      </c>
      <c r="U95" t="s">
        <v>35</v>
      </c>
      <c r="V95" t="s">
        <v>36</v>
      </c>
      <c r="W95" t="s">
        <v>37</v>
      </c>
      <c r="X95" t="s">
        <v>38</v>
      </c>
    </row>
    <row r="96" spans="1:24" x14ac:dyDescent="0.3">
      <c r="A96" t="s">
        <v>181</v>
      </c>
      <c r="B96" t="s">
        <v>60</v>
      </c>
      <c r="C96" t="s">
        <v>51</v>
      </c>
      <c r="D96" t="s">
        <v>51</v>
      </c>
      <c r="E96" t="s">
        <v>59</v>
      </c>
      <c r="F96">
        <v>1</v>
      </c>
      <c r="G96" t="s">
        <v>61</v>
      </c>
      <c r="H96" t="s">
        <v>153</v>
      </c>
      <c r="I96" t="s">
        <v>182</v>
      </c>
      <c r="K96" t="s">
        <v>41</v>
      </c>
      <c r="L96">
        <v>15872</v>
      </c>
      <c r="M96" t="s">
        <v>33</v>
      </c>
      <c r="N96" s="1">
        <v>45604</v>
      </c>
      <c r="O96" s="1">
        <v>45629</v>
      </c>
      <c r="P96" s="1">
        <v>45610</v>
      </c>
      <c r="Q96">
        <v>25</v>
      </c>
      <c r="R96">
        <v>6</v>
      </c>
      <c r="S96">
        <v>-19</v>
      </c>
      <c r="T96" t="s">
        <v>48</v>
      </c>
      <c r="U96" t="s">
        <v>49</v>
      </c>
      <c r="V96" t="s">
        <v>36</v>
      </c>
      <c r="W96" t="s">
        <v>37</v>
      </c>
      <c r="X96" t="s">
        <v>38</v>
      </c>
    </row>
    <row r="97" spans="1:24" x14ac:dyDescent="0.3">
      <c r="A97" t="s">
        <v>183</v>
      </c>
      <c r="B97" t="s">
        <v>60</v>
      </c>
      <c r="C97" t="s">
        <v>87</v>
      </c>
      <c r="D97" t="s">
        <v>27</v>
      </c>
      <c r="E97" t="s">
        <v>175</v>
      </c>
      <c r="F97">
        <v>1</v>
      </c>
      <c r="G97" t="s">
        <v>29</v>
      </c>
      <c r="H97" t="s">
        <v>46</v>
      </c>
      <c r="I97" t="s">
        <v>90</v>
      </c>
      <c r="J97">
        <v>120</v>
      </c>
      <c r="K97" t="s">
        <v>32</v>
      </c>
      <c r="L97">
        <v>4520</v>
      </c>
      <c r="M97" t="s">
        <v>101</v>
      </c>
      <c r="N97" s="1">
        <v>45606</v>
      </c>
      <c r="O97" s="1">
        <v>45618</v>
      </c>
      <c r="P97" s="1">
        <v>45617</v>
      </c>
      <c r="Q97">
        <v>12</v>
      </c>
      <c r="R97">
        <v>11</v>
      </c>
      <c r="S97">
        <v>-1</v>
      </c>
      <c r="T97" t="s">
        <v>48</v>
      </c>
      <c r="U97" t="s">
        <v>49</v>
      </c>
      <c r="V97" t="s">
        <v>36</v>
      </c>
      <c r="W97" t="s">
        <v>37</v>
      </c>
      <c r="X97" t="s">
        <v>38</v>
      </c>
    </row>
    <row r="98" spans="1:24" x14ac:dyDescent="0.3">
      <c r="A98" t="s">
        <v>98</v>
      </c>
      <c r="B98" t="s">
        <v>60</v>
      </c>
      <c r="C98" t="s">
        <v>155</v>
      </c>
      <c r="D98" t="s">
        <v>45</v>
      </c>
      <c r="E98" t="s">
        <v>88</v>
      </c>
      <c r="F98">
        <v>1</v>
      </c>
      <c r="G98" t="s">
        <v>29</v>
      </c>
      <c r="H98" t="s">
        <v>68</v>
      </c>
      <c r="I98" t="s">
        <v>89</v>
      </c>
      <c r="J98">
        <v>90</v>
      </c>
      <c r="K98" t="s">
        <v>41</v>
      </c>
      <c r="L98">
        <v>5766</v>
      </c>
      <c r="M98" t="s">
        <v>101</v>
      </c>
      <c r="N98" s="1">
        <v>45608</v>
      </c>
      <c r="O98" s="1">
        <v>45622</v>
      </c>
      <c r="P98" s="1">
        <v>45621</v>
      </c>
      <c r="Q98">
        <v>14</v>
      </c>
      <c r="R98">
        <v>13</v>
      </c>
      <c r="S98">
        <v>-1</v>
      </c>
      <c r="T98" t="s">
        <v>48</v>
      </c>
      <c r="U98" t="s">
        <v>49</v>
      </c>
      <c r="V98" t="s">
        <v>36</v>
      </c>
      <c r="W98" t="s">
        <v>37</v>
      </c>
      <c r="X98" t="s">
        <v>38</v>
      </c>
    </row>
    <row r="99" spans="1:24" x14ac:dyDescent="0.3">
      <c r="A99" t="s">
        <v>184</v>
      </c>
      <c r="B99" t="s">
        <v>25</v>
      </c>
      <c r="C99" t="s">
        <v>40</v>
      </c>
      <c r="D99" t="s">
        <v>27</v>
      </c>
      <c r="E99" t="s">
        <v>28</v>
      </c>
      <c r="F99">
        <v>1</v>
      </c>
      <c r="G99" t="s">
        <v>29</v>
      </c>
      <c r="H99" t="s">
        <v>46</v>
      </c>
      <c r="I99" t="s">
        <v>90</v>
      </c>
      <c r="J99">
        <v>160</v>
      </c>
      <c r="K99" t="s">
        <v>125</v>
      </c>
      <c r="L99">
        <v>11395</v>
      </c>
      <c r="M99" t="s">
        <v>33</v>
      </c>
      <c r="N99" s="1">
        <v>45608</v>
      </c>
      <c r="O99" s="1">
        <v>45620</v>
      </c>
      <c r="P99" s="1">
        <v>45623</v>
      </c>
      <c r="Q99">
        <v>12</v>
      </c>
      <c r="R99">
        <v>15</v>
      </c>
      <c r="S99">
        <v>3</v>
      </c>
      <c r="T99" t="s">
        <v>34</v>
      </c>
      <c r="U99" t="s">
        <v>35</v>
      </c>
      <c r="V99" t="s">
        <v>36</v>
      </c>
      <c r="W99" t="s">
        <v>37</v>
      </c>
      <c r="X99" t="s">
        <v>38</v>
      </c>
    </row>
    <row r="100" spans="1:24" x14ac:dyDescent="0.3">
      <c r="A100" t="s">
        <v>185</v>
      </c>
      <c r="B100" t="s">
        <v>25</v>
      </c>
      <c r="C100" t="s">
        <v>87</v>
      </c>
      <c r="D100" t="s">
        <v>27</v>
      </c>
      <c r="E100" t="s">
        <v>28</v>
      </c>
      <c r="F100">
        <v>1</v>
      </c>
      <c r="G100" t="s">
        <v>29</v>
      </c>
      <c r="H100" t="s">
        <v>68</v>
      </c>
      <c r="I100" t="s">
        <v>186</v>
      </c>
      <c r="J100">
        <v>80</v>
      </c>
      <c r="K100" t="s">
        <v>32</v>
      </c>
      <c r="L100">
        <v>12919</v>
      </c>
      <c r="M100" t="s">
        <v>33</v>
      </c>
      <c r="N100" s="1">
        <v>45610</v>
      </c>
      <c r="O100" s="1">
        <v>45626</v>
      </c>
      <c r="P100" s="1">
        <v>45623</v>
      </c>
      <c r="Q100">
        <v>16</v>
      </c>
      <c r="R100">
        <v>13</v>
      </c>
      <c r="S100">
        <v>-3</v>
      </c>
      <c r="T100" t="s">
        <v>48</v>
      </c>
      <c r="U100" t="s">
        <v>49</v>
      </c>
      <c r="V100" t="s">
        <v>36</v>
      </c>
      <c r="W100" t="s">
        <v>37</v>
      </c>
      <c r="X100" t="s">
        <v>38</v>
      </c>
    </row>
    <row r="101" spans="1:24" x14ac:dyDescent="0.3">
      <c r="A101" t="s">
        <v>98</v>
      </c>
      <c r="B101" t="s">
        <v>60</v>
      </c>
      <c r="C101" t="s">
        <v>155</v>
      </c>
      <c r="D101" t="s">
        <v>45</v>
      </c>
      <c r="E101" t="s">
        <v>88</v>
      </c>
      <c r="F101">
        <v>1</v>
      </c>
      <c r="G101" t="s">
        <v>29</v>
      </c>
      <c r="H101" t="s">
        <v>68</v>
      </c>
      <c r="I101" t="s">
        <v>97</v>
      </c>
      <c r="J101">
        <v>120</v>
      </c>
      <c r="K101" t="s">
        <v>62</v>
      </c>
      <c r="L101">
        <v>6376</v>
      </c>
      <c r="M101" t="s">
        <v>101</v>
      </c>
      <c r="N101" s="1">
        <v>45610</v>
      </c>
      <c r="O101" s="1">
        <v>45623</v>
      </c>
      <c r="P101" s="1">
        <v>45621</v>
      </c>
      <c r="Q101">
        <v>13</v>
      </c>
      <c r="R101">
        <v>11</v>
      </c>
      <c r="S101">
        <v>-2</v>
      </c>
      <c r="T101" t="s">
        <v>48</v>
      </c>
      <c r="U101" t="s">
        <v>49</v>
      </c>
      <c r="V101" t="s">
        <v>36</v>
      </c>
      <c r="W101" t="s">
        <v>37</v>
      </c>
      <c r="X101" t="s">
        <v>38</v>
      </c>
    </row>
    <row r="102" spans="1:24" x14ac:dyDescent="0.3">
      <c r="A102" t="s">
        <v>98</v>
      </c>
      <c r="B102" t="s">
        <v>60</v>
      </c>
      <c r="C102" t="s">
        <v>155</v>
      </c>
      <c r="D102" t="s">
        <v>45</v>
      </c>
      <c r="E102" t="s">
        <v>88</v>
      </c>
      <c r="F102">
        <v>1</v>
      </c>
      <c r="G102" t="s">
        <v>29</v>
      </c>
      <c r="H102" t="s">
        <v>68</v>
      </c>
      <c r="I102" t="s">
        <v>97</v>
      </c>
      <c r="J102">
        <v>90</v>
      </c>
      <c r="K102" t="s">
        <v>41</v>
      </c>
      <c r="L102">
        <v>5294</v>
      </c>
      <c r="M102" t="s">
        <v>101</v>
      </c>
      <c r="N102" s="1">
        <v>45610</v>
      </c>
      <c r="O102" s="1">
        <v>45623</v>
      </c>
      <c r="P102" s="1">
        <v>45621</v>
      </c>
      <c r="Q102">
        <v>13</v>
      </c>
      <c r="R102">
        <v>11</v>
      </c>
      <c r="S102">
        <v>-2</v>
      </c>
      <c r="T102" t="s">
        <v>48</v>
      </c>
      <c r="U102" t="s">
        <v>49</v>
      </c>
      <c r="V102" t="s">
        <v>36</v>
      </c>
      <c r="W102" t="s">
        <v>37</v>
      </c>
      <c r="X102" t="s">
        <v>38</v>
      </c>
    </row>
    <row r="103" spans="1:24" x14ac:dyDescent="0.3">
      <c r="A103" t="s">
        <v>187</v>
      </c>
      <c r="B103" t="s">
        <v>25</v>
      </c>
      <c r="C103" t="s">
        <v>112</v>
      </c>
      <c r="D103" t="s">
        <v>45</v>
      </c>
      <c r="E103" t="s">
        <v>188</v>
      </c>
      <c r="F103">
        <v>1</v>
      </c>
      <c r="G103" t="s">
        <v>29</v>
      </c>
      <c r="H103" t="s">
        <v>68</v>
      </c>
      <c r="I103" t="s">
        <v>189</v>
      </c>
      <c r="J103">
        <v>80</v>
      </c>
      <c r="K103" t="s">
        <v>32</v>
      </c>
      <c r="L103">
        <v>7396</v>
      </c>
      <c r="M103" t="s">
        <v>33</v>
      </c>
      <c r="N103" s="1">
        <v>45613</v>
      </c>
      <c r="O103" s="1">
        <v>45624</v>
      </c>
      <c r="P103" s="1">
        <v>45622</v>
      </c>
      <c r="Q103">
        <v>11</v>
      </c>
      <c r="R103">
        <v>9</v>
      </c>
      <c r="S103">
        <v>-2</v>
      </c>
      <c r="T103" t="s">
        <v>48</v>
      </c>
      <c r="U103" t="s">
        <v>49</v>
      </c>
      <c r="V103" t="s">
        <v>36</v>
      </c>
      <c r="W103" t="s">
        <v>37</v>
      </c>
      <c r="X103" t="s">
        <v>38</v>
      </c>
    </row>
    <row r="104" spans="1:24" x14ac:dyDescent="0.3">
      <c r="A104" t="s">
        <v>142</v>
      </c>
      <c r="B104" t="s">
        <v>25</v>
      </c>
      <c r="C104" t="s">
        <v>112</v>
      </c>
      <c r="D104" t="s">
        <v>45</v>
      </c>
      <c r="E104" t="s">
        <v>28</v>
      </c>
      <c r="F104">
        <v>1</v>
      </c>
      <c r="G104" t="s">
        <v>29</v>
      </c>
      <c r="H104" t="s">
        <v>68</v>
      </c>
      <c r="I104" t="s">
        <v>89</v>
      </c>
      <c r="J104">
        <v>90</v>
      </c>
      <c r="K104" t="s">
        <v>41</v>
      </c>
      <c r="L104">
        <v>13575</v>
      </c>
      <c r="M104" t="s">
        <v>64</v>
      </c>
      <c r="N104" s="1">
        <v>45616</v>
      </c>
      <c r="O104" s="1">
        <v>45631</v>
      </c>
      <c r="P104" s="1">
        <v>45622</v>
      </c>
      <c r="Q104">
        <v>15</v>
      </c>
      <c r="R104">
        <v>6</v>
      </c>
      <c r="S104">
        <v>-9</v>
      </c>
      <c r="T104" t="s">
        <v>48</v>
      </c>
      <c r="U104" t="s">
        <v>49</v>
      </c>
      <c r="V104" t="s">
        <v>36</v>
      </c>
      <c r="W104" t="s">
        <v>37</v>
      </c>
      <c r="X104" t="s">
        <v>38</v>
      </c>
    </row>
    <row r="105" spans="1:24" x14ac:dyDescent="0.3">
      <c r="A105" t="s">
        <v>70</v>
      </c>
      <c r="B105" t="s">
        <v>60</v>
      </c>
      <c r="C105" t="s">
        <v>71</v>
      </c>
      <c r="D105" t="s">
        <v>27</v>
      </c>
      <c r="E105" t="s">
        <v>72</v>
      </c>
      <c r="F105">
        <v>1</v>
      </c>
      <c r="G105" t="s">
        <v>29</v>
      </c>
      <c r="H105" t="s">
        <v>46</v>
      </c>
      <c r="I105" t="s">
        <v>190</v>
      </c>
      <c r="J105">
        <v>160</v>
      </c>
      <c r="K105" t="s">
        <v>41</v>
      </c>
      <c r="L105">
        <v>5100</v>
      </c>
      <c r="M105" t="s">
        <v>101</v>
      </c>
      <c r="N105" s="1">
        <v>45610</v>
      </c>
      <c r="O105" s="1">
        <v>45634</v>
      </c>
      <c r="P105" s="1"/>
      <c r="Q105">
        <v>24</v>
      </c>
      <c r="T105" t="s">
        <v>42</v>
      </c>
      <c r="U105" t="s">
        <v>35</v>
      </c>
      <c r="V105" t="s">
        <v>74</v>
      </c>
      <c r="W105" t="s">
        <v>74</v>
      </c>
      <c r="X105" t="s">
        <v>38</v>
      </c>
    </row>
    <row r="106" spans="1:24" x14ac:dyDescent="0.3">
      <c r="A106" t="s">
        <v>191</v>
      </c>
      <c r="B106" t="s">
        <v>25</v>
      </c>
      <c r="C106" t="s">
        <v>104</v>
      </c>
      <c r="D106" t="s">
        <v>27</v>
      </c>
      <c r="E106" t="s">
        <v>63</v>
      </c>
      <c r="F106">
        <v>1</v>
      </c>
      <c r="G106" t="s">
        <v>29</v>
      </c>
      <c r="H106" t="s">
        <v>46</v>
      </c>
      <c r="I106" t="s">
        <v>192</v>
      </c>
      <c r="J106">
        <v>160</v>
      </c>
      <c r="K106" t="s">
        <v>116</v>
      </c>
      <c r="L106">
        <v>5800</v>
      </c>
      <c r="M106" t="s">
        <v>64</v>
      </c>
      <c r="N106" s="1">
        <v>45618</v>
      </c>
      <c r="O106" s="1">
        <v>45628</v>
      </c>
      <c r="P106" s="1">
        <v>45623</v>
      </c>
      <c r="Q106">
        <v>10</v>
      </c>
      <c r="R106">
        <v>5</v>
      </c>
      <c r="S106">
        <v>-5</v>
      </c>
      <c r="T106" t="s">
        <v>48</v>
      </c>
      <c r="U106" t="s">
        <v>49</v>
      </c>
      <c r="V106" t="s">
        <v>36</v>
      </c>
      <c r="W106" t="s">
        <v>37</v>
      </c>
      <c r="X106" t="s">
        <v>38</v>
      </c>
    </row>
    <row r="107" spans="1:24" x14ac:dyDescent="0.3">
      <c r="A107" t="s">
        <v>193</v>
      </c>
      <c r="B107" t="s">
        <v>60</v>
      </c>
      <c r="C107" t="s">
        <v>194</v>
      </c>
      <c r="D107" t="s">
        <v>27</v>
      </c>
      <c r="E107" t="s">
        <v>28</v>
      </c>
      <c r="F107">
        <v>1</v>
      </c>
      <c r="G107" t="s">
        <v>29</v>
      </c>
      <c r="H107" t="s">
        <v>46</v>
      </c>
      <c r="I107" t="s">
        <v>47</v>
      </c>
      <c r="J107">
        <v>120</v>
      </c>
      <c r="K107" t="s">
        <v>62</v>
      </c>
      <c r="L107">
        <v>10885</v>
      </c>
      <c r="M107" t="s">
        <v>64</v>
      </c>
      <c r="N107" s="1">
        <v>45620</v>
      </c>
      <c r="O107" s="1">
        <v>45631</v>
      </c>
      <c r="P107" s="1">
        <v>45636</v>
      </c>
      <c r="Q107">
        <v>11</v>
      </c>
      <c r="R107">
        <v>16</v>
      </c>
      <c r="S107">
        <v>5</v>
      </c>
      <c r="T107" t="s">
        <v>42</v>
      </c>
      <c r="U107" t="s">
        <v>35</v>
      </c>
      <c r="V107" t="s">
        <v>36</v>
      </c>
      <c r="W107" t="s">
        <v>37</v>
      </c>
      <c r="X107" t="s">
        <v>38</v>
      </c>
    </row>
    <row r="108" spans="1:24" x14ac:dyDescent="0.3">
      <c r="A108" t="s">
        <v>70</v>
      </c>
      <c r="B108" t="s">
        <v>60</v>
      </c>
      <c r="C108" t="s">
        <v>71</v>
      </c>
      <c r="D108" t="s">
        <v>27</v>
      </c>
      <c r="E108" t="s">
        <v>72</v>
      </c>
      <c r="F108">
        <v>1</v>
      </c>
      <c r="G108" t="s">
        <v>61</v>
      </c>
      <c r="L108">
        <v>6000</v>
      </c>
      <c r="M108" t="s">
        <v>64</v>
      </c>
      <c r="N108" s="1">
        <v>45615</v>
      </c>
      <c r="O108" s="1">
        <v>45631</v>
      </c>
      <c r="P108" s="1">
        <v>45616</v>
      </c>
      <c r="Q108">
        <v>16</v>
      </c>
      <c r="R108">
        <v>1</v>
      </c>
      <c r="S108">
        <v>-15</v>
      </c>
      <c r="T108" t="s">
        <v>48</v>
      </c>
      <c r="U108" t="s">
        <v>49</v>
      </c>
      <c r="V108" t="s">
        <v>195</v>
      </c>
      <c r="W108" t="s">
        <v>37</v>
      </c>
      <c r="X108" t="s">
        <v>38</v>
      </c>
    </row>
    <row r="109" spans="1:24" x14ac:dyDescent="0.3">
      <c r="A109" t="s">
        <v>196</v>
      </c>
      <c r="B109" t="s">
        <v>25</v>
      </c>
      <c r="C109" t="s">
        <v>197</v>
      </c>
      <c r="D109" t="s">
        <v>107</v>
      </c>
      <c r="E109" t="s">
        <v>28</v>
      </c>
      <c r="F109">
        <v>1</v>
      </c>
      <c r="G109" t="s">
        <v>53</v>
      </c>
      <c r="H109" t="s">
        <v>198</v>
      </c>
      <c r="L109">
        <v>8449</v>
      </c>
      <c r="M109" t="s">
        <v>33</v>
      </c>
      <c r="N109" s="1">
        <v>45623</v>
      </c>
      <c r="O109" s="1">
        <v>45636</v>
      </c>
      <c r="P109" s="1">
        <v>45649</v>
      </c>
      <c r="Q109">
        <v>13</v>
      </c>
      <c r="R109">
        <v>26</v>
      </c>
      <c r="S109">
        <v>13</v>
      </c>
      <c r="T109" t="s">
        <v>42</v>
      </c>
      <c r="U109" t="s">
        <v>35</v>
      </c>
      <c r="V109" t="s">
        <v>55</v>
      </c>
      <c r="W109" t="s">
        <v>56</v>
      </c>
      <c r="X109" t="s">
        <v>38</v>
      </c>
    </row>
    <row r="110" spans="1:24" x14ac:dyDescent="0.3">
      <c r="A110" t="s">
        <v>199</v>
      </c>
      <c r="B110" t="s">
        <v>25</v>
      </c>
      <c r="C110" t="s">
        <v>95</v>
      </c>
      <c r="D110" t="s">
        <v>27</v>
      </c>
      <c r="E110" t="s">
        <v>28</v>
      </c>
      <c r="F110">
        <v>1</v>
      </c>
      <c r="G110" t="s">
        <v>53</v>
      </c>
      <c r="H110" t="s">
        <v>68</v>
      </c>
      <c r="K110" t="s">
        <v>32</v>
      </c>
      <c r="L110">
        <v>10249</v>
      </c>
      <c r="M110" t="s">
        <v>64</v>
      </c>
      <c r="N110" s="1">
        <v>45623</v>
      </c>
      <c r="O110" s="1">
        <v>45636</v>
      </c>
      <c r="P110" s="1">
        <v>45645</v>
      </c>
      <c r="Q110">
        <v>13</v>
      </c>
      <c r="R110">
        <v>22</v>
      </c>
      <c r="S110">
        <v>9</v>
      </c>
      <c r="T110" t="s">
        <v>42</v>
      </c>
      <c r="U110" t="s">
        <v>35</v>
      </c>
      <c r="V110" t="s">
        <v>36</v>
      </c>
      <c r="W110" t="s">
        <v>37</v>
      </c>
      <c r="X110" t="s">
        <v>38</v>
      </c>
    </row>
    <row r="111" spans="1:24" x14ac:dyDescent="0.3">
      <c r="A111" t="s">
        <v>200</v>
      </c>
      <c r="B111" t="s">
        <v>25</v>
      </c>
      <c r="C111" t="s">
        <v>201</v>
      </c>
      <c r="D111" t="s">
        <v>107</v>
      </c>
      <c r="E111" t="s">
        <v>28</v>
      </c>
      <c r="F111">
        <v>1</v>
      </c>
      <c r="G111" t="s">
        <v>29</v>
      </c>
      <c r="H111" t="s">
        <v>68</v>
      </c>
      <c r="I111" t="s">
        <v>31</v>
      </c>
      <c r="J111">
        <v>100</v>
      </c>
      <c r="K111" t="s">
        <v>41</v>
      </c>
      <c r="L111">
        <v>14905</v>
      </c>
      <c r="M111" t="s">
        <v>33</v>
      </c>
      <c r="N111" s="1">
        <v>45625</v>
      </c>
      <c r="O111" s="1">
        <v>45641</v>
      </c>
      <c r="P111" s="1"/>
      <c r="Q111">
        <v>16</v>
      </c>
      <c r="T111" t="s">
        <v>42</v>
      </c>
      <c r="U111" t="s">
        <v>35</v>
      </c>
      <c r="V111" t="s">
        <v>76</v>
      </c>
      <c r="W111" t="s">
        <v>37</v>
      </c>
      <c r="X111" t="s">
        <v>77</v>
      </c>
    </row>
    <row r="112" spans="1:24" x14ac:dyDescent="0.3">
      <c r="A112" t="s">
        <v>202</v>
      </c>
      <c r="B112" t="s">
        <v>25</v>
      </c>
      <c r="C112" t="s">
        <v>58</v>
      </c>
      <c r="D112" t="s">
        <v>27</v>
      </c>
      <c r="E112" t="s">
        <v>28</v>
      </c>
      <c r="F112">
        <v>1</v>
      </c>
      <c r="G112" t="s">
        <v>53</v>
      </c>
      <c r="H112" t="s">
        <v>203</v>
      </c>
      <c r="K112" t="s">
        <v>41</v>
      </c>
      <c r="L112">
        <v>10249</v>
      </c>
      <c r="M112" t="s">
        <v>33</v>
      </c>
      <c r="N112" s="1">
        <v>45626</v>
      </c>
      <c r="O112" s="1">
        <v>45638</v>
      </c>
      <c r="P112" s="1"/>
      <c r="Q112">
        <v>12</v>
      </c>
      <c r="T112" t="s">
        <v>42</v>
      </c>
      <c r="U112" t="s">
        <v>35</v>
      </c>
      <c r="V112" t="s">
        <v>77</v>
      </c>
      <c r="W112" t="s">
        <v>37</v>
      </c>
      <c r="X112" t="s">
        <v>77</v>
      </c>
    </row>
    <row r="113" spans="1:24" x14ac:dyDescent="0.3">
      <c r="A113" t="s">
        <v>204</v>
      </c>
      <c r="B113" t="s">
        <v>25</v>
      </c>
      <c r="C113" t="s">
        <v>58</v>
      </c>
      <c r="D113" t="s">
        <v>27</v>
      </c>
      <c r="E113" t="s">
        <v>28</v>
      </c>
      <c r="F113">
        <v>1</v>
      </c>
      <c r="G113" t="s">
        <v>53</v>
      </c>
      <c r="H113" t="s">
        <v>54</v>
      </c>
      <c r="K113" t="s">
        <v>41</v>
      </c>
      <c r="L113">
        <v>9029</v>
      </c>
      <c r="M113" t="s">
        <v>33</v>
      </c>
      <c r="N113" s="1">
        <v>45626</v>
      </c>
      <c r="O113" s="1">
        <v>45638</v>
      </c>
      <c r="P113" s="1"/>
      <c r="Q113">
        <v>12</v>
      </c>
      <c r="T113" t="s">
        <v>42</v>
      </c>
      <c r="U113" t="s">
        <v>35</v>
      </c>
      <c r="V113" t="s">
        <v>77</v>
      </c>
      <c r="W113" t="s">
        <v>37</v>
      </c>
      <c r="X113" t="s">
        <v>77</v>
      </c>
    </row>
    <row r="114" spans="1:24" x14ac:dyDescent="0.3">
      <c r="A114" t="s">
        <v>205</v>
      </c>
      <c r="B114" t="s">
        <v>25</v>
      </c>
      <c r="C114" t="s">
        <v>66</v>
      </c>
      <c r="D114" t="s">
        <v>67</v>
      </c>
      <c r="E114" t="s">
        <v>28</v>
      </c>
      <c r="F114">
        <v>1</v>
      </c>
      <c r="G114" t="s">
        <v>53</v>
      </c>
      <c r="H114" t="s">
        <v>68</v>
      </c>
      <c r="K114" t="s">
        <v>41</v>
      </c>
      <c r="L114">
        <v>9029</v>
      </c>
      <c r="M114" t="s">
        <v>33</v>
      </c>
      <c r="N114" s="1">
        <v>45626</v>
      </c>
      <c r="O114" s="1">
        <v>45638</v>
      </c>
      <c r="P114" s="1"/>
      <c r="Q114">
        <v>12</v>
      </c>
      <c r="T114" t="s">
        <v>42</v>
      </c>
      <c r="U114" t="s">
        <v>35</v>
      </c>
      <c r="V114" t="s">
        <v>74</v>
      </c>
      <c r="W114" t="s">
        <v>74</v>
      </c>
      <c r="X114" t="s">
        <v>38</v>
      </c>
    </row>
    <row r="115" spans="1:24" x14ac:dyDescent="0.3">
      <c r="A115" t="s">
        <v>206</v>
      </c>
      <c r="B115" t="s">
        <v>25</v>
      </c>
      <c r="C115" t="s">
        <v>110</v>
      </c>
      <c r="D115" t="s">
        <v>27</v>
      </c>
      <c r="E115" t="s">
        <v>28</v>
      </c>
      <c r="F115">
        <v>1</v>
      </c>
      <c r="G115" t="s">
        <v>29</v>
      </c>
      <c r="H115" t="s">
        <v>207</v>
      </c>
      <c r="I115" t="s">
        <v>97</v>
      </c>
      <c r="J115">
        <v>80</v>
      </c>
      <c r="K115" t="s">
        <v>32</v>
      </c>
      <c r="L115">
        <v>12099</v>
      </c>
      <c r="M115" t="s">
        <v>33</v>
      </c>
      <c r="N115" s="1">
        <v>45628</v>
      </c>
      <c r="O115" s="1">
        <v>45643</v>
      </c>
      <c r="P115" s="1"/>
      <c r="Q115">
        <v>15</v>
      </c>
      <c r="T115" t="s">
        <v>42</v>
      </c>
      <c r="U115" t="s">
        <v>35</v>
      </c>
      <c r="V115" t="s">
        <v>77</v>
      </c>
      <c r="W115" t="s">
        <v>37</v>
      </c>
      <c r="X115" t="s">
        <v>77</v>
      </c>
    </row>
    <row r="116" spans="1:24" x14ac:dyDescent="0.3">
      <c r="A116" t="s">
        <v>98</v>
      </c>
      <c r="B116" t="s">
        <v>60</v>
      </c>
      <c r="C116" t="s">
        <v>155</v>
      </c>
      <c r="D116" t="s">
        <v>45</v>
      </c>
      <c r="E116" t="s">
        <v>88</v>
      </c>
      <c r="F116">
        <v>1</v>
      </c>
      <c r="G116" t="s">
        <v>29</v>
      </c>
      <c r="H116" t="s">
        <v>68</v>
      </c>
      <c r="I116" t="s">
        <v>189</v>
      </c>
      <c r="J116">
        <v>90</v>
      </c>
      <c r="K116" t="s">
        <v>69</v>
      </c>
      <c r="L116">
        <v>5217</v>
      </c>
      <c r="M116" t="s">
        <v>101</v>
      </c>
      <c r="N116" s="1">
        <v>45627</v>
      </c>
      <c r="O116" s="1">
        <v>45640</v>
      </c>
      <c r="P116" s="1">
        <v>45636</v>
      </c>
      <c r="Q116">
        <v>13</v>
      </c>
      <c r="R116">
        <v>9</v>
      </c>
      <c r="S116">
        <v>-4</v>
      </c>
      <c r="T116" t="s">
        <v>48</v>
      </c>
      <c r="U116" t="s">
        <v>49</v>
      </c>
      <c r="V116" t="s">
        <v>36</v>
      </c>
      <c r="W116" t="s">
        <v>37</v>
      </c>
      <c r="X116" t="s">
        <v>38</v>
      </c>
    </row>
    <row r="117" spans="1:24" x14ac:dyDescent="0.3">
      <c r="A117" t="s">
        <v>208</v>
      </c>
      <c r="B117" t="s">
        <v>25</v>
      </c>
      <c r="C117" t="s">
        <v>144</v>
      </c>
      <c r="D117" t="s">
        <v>100</v>
      </c>
      <c r="E117" t="s">
        <v>28</v>
      </c>
      <c r="F117">
        <v>1</v>
      </c>
      <c r="G117" t="s">
        <v>29</v>
      </c>
      <c r="H117" t="s">
        <v>127</v>
      </c>
      <c r="K117" t="s">
        <v>41</v>
      </c>
      <c r="L117">
        <v>10249</v>
      </c>
      <c r="M117" t="s">
        <v>64</v>
      </c>
      <c r="N117" s="1">
        <v>45630</v>
      </c>
      <c r="O117" s="1">
        <v>45640</v>
      </c>
      <c r="P117" s="1">
        <v>45645</v>
      </c>
      <c r="Q117">
        <v>10</v>
      </c>
      <c r="R117">
        <v>15</v>
      </c>
      <c r="S117">
        <v>5</v>
      </c>
      <c r="T117" t="s">
        <v>42</v>
      </c>
      <c r="U117" t="s">
        <v>35</v>
      </c>
      <c r="V117" t="s">
        <v>36</v>
      </c>
      <c r="W117" t="s">
        <v>37</v>
      </c>
      <c r="X117" t="s">
        <v>38</v>
      </c>
    </row>
    <row r="118" spans="1:24" x14ac:dyDescent="0.3">
      <c r="A118" t="s">
        <v>209</v>
      </c>
      <c r="B118" t="s">
        <v>25</v>
      </c>
      <c r="C118" t="s">
        <v>58</v>
      </c>
      <c r="D118" t="s">
        <v>27</v>
      </c>
      <c r="E118" t="s">
        <v>59</v>
      </c>
      <c r="F118">
        <v>1</v>
      </c>
      <c r="G118" t="s">
        <v>29</v>
      </c>
      <c r="H118" t="s">
        <v>68</v>
      </c>
      <c r="I118" t="s">
        <v>89</v>
      </c>
      <c r="K118" t="s">
        <v>41</v>
      </c>
      <c r="L118">
        <v>10445</v>
      </c>
      <c r="M118" t="s">
        <v>64</v>
      </c>
      <c r="N118" s="1">
        <v>45635</v>
      </c>
      <c r="O118" s="1">
        <v>45657</v>
      </c>
      <c r="P118" s="1">
        <v>45638</v>
      </c>
      <c r="Q118">
        <v>22</v>
      </c>
      <c r="R118">
        <v>3</v>
      </c>
      <c r="S118">
        <v>-19</v>
      </c>
      <c r="T118" t="s">
        <v>48</v>
      </c>
      <c r="U118" t="s">
        <v>49</v>
      </c>
      <c r="V118" t="s">
        <v>36</v>
      </c>
      <c r="W118" t="s">
        <v>37</v>
      </c>
      <c r="X118" t="s">
        <v>38</v>
      </c>
    </row>
    <row r="119" spans="1:24" x14ac:dyDescent="0.3">
      <c r="A119" t="s">
        <v>210</v>
      </c>
      <c r="B119" t="s">
        <v>25</v>
      </c>
      <c r="C119" t="s">
        <v>58</v>
      </c>
      <c r="D119" t="s">
        <v>27</v>
      </c>
      <c r="E119" t="s">
        <v>28</v>
      </c>
      <c r="F119">
        <v>1</v>
      </c>
      <c r="G119" t="s">
        <v>53</v>
      </c>
      <c r="H119" t="s">
        <v>68</v>
      </c>
      <c r="K119" t="s">
        <v>41</v>
      </c>
      <c r="L119">
        <v>11257</v>
      </c>
      <c r="M119" t="s">
        <v>64</v>
      </c>
      <c r="N119" s="1">
        <v>45638</v>
      </c>
      <c r="O119" s="1">
        <v>45650</v>
      </c>
      <c r="P119" s="1">
        <v>45645</v>
      </c>
      <c r="Q119">
        <v>12</v>
      </c>
      <c r="R119">
        <v>7</v>
      </c>
      <c r="S119">
        <v>-5</v>
      </c>
      <c r="T119" t="s">
        <v>48</v>
      </c>
      <c r="U119" t="s">
        <v>49</v>
      </c>
      <c r="V119" t="s">
        <v>36</v>
      </c>
      <c r="W119" t="s">
        <v>37</v>
      </c>
      <c r="X119" t="s">
        <v>38</v>
      </c>
    </row>
    <row r="120" spans="1:24" x14ac:dyDescent="0.3">
      <c r="A120" t="s">
        <v>211</v>
      </c>
      <c r="B120" t="s">
        <v>25</v>
      </c>
      <c r="C120" t="s">
        <v>112</v>
      </c>
      <c r="D120" t="s">
        <v>45</v>
      </c>
      <c r="E120" t="s">
        <v>28</v>
      </c>
      <c r="F120">
        <v>1</v>
      </c>
      <c r="G120" t="s">
        <v>29</v>
      </c>
      <c r="H120" t="s">
        <v>68</v>
      </c>
      <c r="I120" t="s">
        <v>97</v>
      </c>
      <c r="J120">
        <v>80</v>
      </c>
      <c r="K120" t="s">
        <v>41</v>
      </c>
      <c r="L120">
        <v>13231</v>
      </c>
      <c r="M120" t="s">
        <v>64</v>
      </c>
      <c r="N120" s="1">
        <v>45638</v>
      </c>
      <c r="O120" s="1">
        <v>45654</v>
      </c>
      <c r="P120" s="1">
        <v>45655</v>
      </c>
      <c r="Q120">
        <v>16</v>
      </c>
      <c r="R120">
        <v>17</v>
      </c>
      <c r="S120">
        <v>1</v>
      </c>
      <c r="T120" t="s">
        <v>34</v>
      </c>
      <c r="U120" t="s">
        <v>35</v>
      </c>
      <c r="V120" t="s">
        <v>36</v>
      </c>
      <c r="W120" t="s">
        <v>37</v>
      </c>
      <c r="X120" t="s">
        <v>38</v>
      </c>
    </row>
    <row r="121" spans="1:24" x14ac:dyDescent="0.3">
      <c r="A121" t="s">
        <v>181</v>
      </c>
      <c r="B121" t="s">
        <v>60</v>
      </c>
      <c r="C121" t="s">
        <v>51</v>
      </c>
      <c r="D121" t="s">
        <v>51</v>
      </c>
      <c r="E121" t="s">
        <v>59</v>
      </c>
      <c r="F121">
        <v>1</v>
      </c>
      <c r="G121" t="s">
        <v>61</v>
      </c>
      <c r="H121" t="s">
        <v>153</v>
      </c>
      <c r="I121" t="s">
        <v>182</v>
      </c>
      <c r="K121" t="s">
        <v>41</v>
      </c>
      <c r="L121">
        <v>8700</v>
      </c>
      <c r="M121" t="s">
        <v>101</v>
      </c>
      <c r="N121" s="1">
        <v>45640</v>
      </c>
      <c r="O121" s="1">
        <v>45662</v>
      </c>
      <c r="P121" s="1">
        <v>45655</v>
      </c>
      <c r="Q121">
        <v>22</v>
      </c>
      <c r="R121">
        <v>15</v>
      </c>
      <c r="S121">
        <v>-7</v>
      </c>
      <c r="T121" t="s">
        <v>48</v>
      </c>
      <c r="U121" t="s">
        <v>49</v>
      </c>
      <c r="V121" t="s">
        <v>36</v>
      </c>
      <c r="W121" t="s">
        <v>37</v>
      </c>
      <c r="X12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6B25-D7D9-49FB-A684-B585FC849C9B}">
  <dimension ref="A1:BL56"/>
  <sheetViews>
    <sheetView zoomScale="84" zoomScaleNormal="100" workbookViewId="0">
      <selection activeCell="BI26" sqref="BI26"/>
    </sheetView>
  </sheetViews>
  <sheetFormatPr defaultRowHeight="14.4" x14ac:dyDescent="0.3"/>
  <cols>
    <col min="1" max="1" width="8.88671875" style="2"/>
    <col min="2" max="2" width="12.6640625" style="2" bestFit="1" customWidth="1"/>
    <col min="3" max="3" width="8.33203125" style="2" bestFit="1" customWidth="1"/>
    <col min="4" max="4" width="10.77734375" style="2" bestFit="1" customWidth="1"/>
    <col min="5" max="9" width="8.88671875" style="2"/>
    <col min="10" max="10" width="1.33203125" style="2" customWidth="1"/>
    <col min="11" max="11" width="8.88671875" style="2"/>
    <col min="12" max="12" width="12.6640625" style="2" bestFit="1" customWidth="1"/>
    <col min="13" max="13" width="10.44140625" style="2" bestFit="1" customWidth="1"/>
    <col min="14" max="17" width="8.88671875" style="2"/>
    <col min="18" max="18" width="12.5546875" style="2" bestFit="1" customWidth="1"/>
    <col min="19" max="19" width="14.5546875" style="2" bestFit="1" customWidth="1"/>
    <col min="20" max="20" width="8.88671875" style="2"/>
    <col min="21" max="21" width="1.21875" style="2" customWidth="1"/>
    <col min="22" max="22" width="8.88671875" style="2"/>
    <col min="23" max="23" width="12.6640625" style="2" bestFit="1" customWidth="1"/>
    <col min="24" max="24" width="10.44140625" style="2" bestFit="1" customWidth="1"/>
    <col min="25" max="26" width="8.88671875" style="2"/>
    <col min="27" max="27" width="12.5546875" style="2" bestFit="1" customWidth="1"/>
    <col min="28" max="28" width="12.6640625" style="2" bestFit="1" customWidth="1"/>
    <col min="29" max="31" width="8.88671875" style="2"/>
    <col min="32" max="32" width="1.77734375" style="2" customWidth="1"/>
    <col min="33" max="33" width="8.88671875" style="2"/>
    <col min="34" max="34" width="12.6640625" style="2" bestFit="1" customWidth="1"/>
    <col min="35" max="35" width="6.21875" style="2" bestFit="1" customWidth="1"/>
    <col min="36" max="39" width="8.88671875" style="2"/>
    <col min="40" max="40" width="11.88671875" style="2" customWidth="1"/>
    <col min="41" max="42" width="8.88671875" style="2"/>
    <col min="43" max="43" width="1.77734375" style="2" customWidth="1"/>
    <col min="44" max="44" width="8.88671875" style="2"/>
    <col min="45" max="45" width="12.6640625" style="2" bestFit="1" customWidth="1"/>
    <col min="46" max="46" width="10.44140625" style="2" bestFit="1" customWidth="1"/>
    <col min="47" max="47" width="8.88671875" style="2"/>
    <col min="48" max="48" width="12.6640625" style="2" bestFit="1" customWidth="1"/>
    <col min="49" max="49" width="15.33203125" style="2" bestFit="1" customWidth="1"/>
    <col min="50" max="53" width="8.88671875" style="2"/>
    <col min="54" max="54" width="1.109375" style="2" customWidth="1"/>
    <col min="55" max="55" width="8.88671875" style="2"/>
    <col min="56" max="56" width="12.6640625" style="2" bestFit="1" customWidth="1"/>
    <col min="57" max="57" width="11.5546875" style="2" bestFit="1" customWidth="1"/>
    <col min="58" max="16384" width="8.88671875" style="2"/>
  </cols>
  <sheetData>
    <row r="1" spans="1:64" ht="14.4" customHeight="1" x14ac:dyDescent="0.3">
      <c r="A1" s="32" t="s">
        <v>235</v>
      </c>
      <c r="B1" s="33"/>
      <c r="C1" s="33"/>
      <c r="D1" s="33"/>
      <c r="E1" s="33"/>
      <c r="F1" s="33"/>
      <c r="G1" s="33"/>
      <c r="H1" s="33"/>
      <c r="I1" s="34"/>
      <c r="K1" s="32" t="s">
        <v>237</v>
      </c>
      <c r="L1" s="33"/>
      <c r="M1" s="33"/>
      <c r="N1" s="33"/>
      <c r="O1" s="33"/>
      <c r="P1" s="33"/>
      <c r="Q1" s="33"/>
      <c r="R1" s="33"/>
      <c r="S1" s="33"/>
      <c r="T1" s="34"/>
      <c r="V1" s="32" t="s">
        <v>236</v>
      </c>
      <c r="W1" s="33"/>
      <c r="X1" s="33"/>
      <c r="Y1" s="33"/>
      <c r="Z1" s="33"/>
      <c r="AA1" s="33"/>
      <c r="AB1" s="33"/>
      <c r="AC1" s="33"/>
      <c r="AD1" s="33"/>
      <c r="AE1" s="34"/>
      <c r="AG1" s="32" t="s">
        <v>238</v>
      </c>
      <c r="AH1" s="33"/>
      <c r="AI1" s="33"/>
      <c r="AJ1" s="33"/>
      <c r="AK1" s="33"/>
      <c r="AL1" s="33"/>
      <c r="AM1" s="33"/>
      <c r="AN1" s="33"/>
      <c r="AO1" s="33"/>
      <c r="AP1" s="34"/>
      <c r="AR1" s="32" t="s">
        <v>239</v>
      </c>
      <c r="AS1" s="33"/>
      <c r="AT1" s="33"/>
      <c r="AU1" s="33"/>
      <c r="AV1" s="33"/>
      <c r="AW1" s="33"/>
      <c r="AX1" s="33"/>
      <c r="AY1" s="33"/>
      <c r="AZ1" s="33"/>
      <c r="BA1" s="34"/>
      <c r="BC1" s="32" t="s">
        <v>240</v>
      </c>
      <c r="BD1" s="33"/>
      <c r="BE1" s="33"/>
      <c r="BF1" s="33"/>
      <c r="BG1" s="33"/>
      <c r="BH1" s="33"/>
      <c r="BI1" s="33"/>
      <c r="BJ1" s="33"/>
      <c r="BK1" s="33"/>
      <c r="BL1" s="34"/>
    </row>
    <row r="2" spans="1:64" ht="14.4" customHeight="1" x14ac:dyDescent="0.3">
      <c r="A2" s="35"/>
      <c r="B2" s="36"/>
      <c r="C2" s="36"/>
      <c r="D2" s="36"/>
      <c r="E2" s="36"/>
      <c r="F2" s="36"/>
      <c r="G2" s="36"/>
      <c r="H2" s="36"/>
      <c r="I2" s="37"/>
      <c r="K2" s="35"/>
      <c r="L2" s="36"/>
      <c r="M2" s="36"/>
      <c r="N2" s="36"/>
      <c r="O2" s="36"/>
      <c r="P2" s="36"/>
      <c r="Q2" s="36"/>
      <c r="R2" s="36"/>
      <c r="S2" s="36"/>
      <c r="T2" s="37"/>
      <c r="V2" s="35"/>
      <c r="W2" s="36"/>
      <c r="X2" s="36"/>
      <c r="Y2" s="36"/>
      <c r="Z2" s="36"/>
      <c r="AA2" s="36"/>
      <c r="AB2" s="36"/>
      <c r="AC2" s="36"/>
      <c r="AD2" s="36"/>
      <c r="AE2" s="37"/>
      <c r="AG2" s="35"/>
      <c r="AH2" s="36"/>
      <c r="AI2" s="36"/>
      <c r="AJ2" s="36"/>
      <c r="AK2" s="36"/>
      <c r="AL2" s="36"/>
      <c r="AM2" s="36"/>
      <c r="AN2" s="36"/>
      <c r="AO2" s="36"/>
      <c r="AP2" s="37"/>
      <c r="AR2" s="35"/>
      <c r="AS2" s="36"/>
      <c r="AT2" s="36"/>
      <c r="AU2" s="36"/>
      <c r="AV2" s="36"/>
      <c r="AW2" s="36"/>
      <c r="AX2" s="36"/>
      <c r="AY2" s="36"/>
      <c r="AZ2" s="36"/>
      <c r="BA2" s="37"/>
      <c r="BC2" s="35"/>
      <c r="BD2" s="36"/>
      <c r="BE2" s="36"/>
      <c r="BF2" s="36"/>
      <c r="BG2" s="36"/>
      <c r="BH2" s="36"/>
      <c r="BI2" s="36"/>
      <c r="BJ2" s="36"/>
      <c r="BK2" s="36"/>
      <c r="BL2" s="37"/>
    </row>
    <row r="3" spans="1:64" ht="15" customHeight="1" x14ac:dyDescent="0.3">
      <c r="A3" s="38"/>
      <c r="B3" s="40"/>
      <c r="C3" s="40"/>
      <c r="D3" s="40"/>
      <c r="E3" s="40"/>
      <c r="F3" s="40"/>
      <c r="G3" s="40"/>
      <c r="H3" s="40"/>
      <c r="I3" s="39"/>
      <c r="K3" s="38"/>
      <c r="L3" s="40"/>
      <c r="M3" s="40"/>
      <c r="N3" s="40"/>
      <c r="O3" s="40"/>
      <c r="P3" s="40"/>
      <c r="Q3" s="40"/>
      <c r="R3" s="40"/>
      <c r="S3" s="40"/>
      <c r="T3" s="39"/>
      <c r="V3" s="38"/>
      <c r="W3" s="36"/>
      <c r="X3" s="36"/>
      <c r="Y3" s="36"/>
      <c r="Z3" s="36"/>
      <c r="AA3" s="36"/>
      <c r="AB3" s="36"/>
      <c r="AC3" s="36"/>
      <c r="AD3" s="36"/>
      <c r="AE3" s="39"/>
      <c r="AG3" s="38"/>
      <c r="AH3" s="36"/>
      <c r="AI3" s="36"/>
      <c r="AJ3" s="36"/>
      <c r="AK3" s="36"/>
      <c r="AL3" s="36"/>
      <c r="AM3" s="36"/>
      <c r="AN3" s="36"/>
      <c r="AO3" s="36"/>
      <c r="AP3" s="39"/>
      <c r="AR3" s="38"/>
      <c r="AS3" s="36"/>
      <c r="AT3" s="36"/>
      <c r="AU3" s="36"/>
      <c r="AV3" s="36"/>
      <c r="AW3" s="36"/>
      <c r="AX3" s="36"/>
      <c r="AY3" s="36"/>
      <c r="AZ3" s="36"/>
      <c r="BA3" s="39"/>
      <c r="BC3" s="38"/>
      <c r="BD3" s="36"/>
      <c r="BE3" s="36"/>
      <c r="BF3" s="36"/>
      <c r="BG3" s="36"/>
      <c r="BH3" s="36"/>
      <c r="BI3" s="36"/>
      <c r="BJ3" s="36"/>
      <c r="BK3" s="36"/>
      <c r="BL3" s="39"/>
    </row>
    <row r="4" spans="1:64" x14ac:dyDescent="0.3">
      <c r="A4" s="13"/>
      <c r="B4" s="77" t="s">
        <v>212</v>
      </c>
      <c r="C4" s="78"/>
      <c r="D4" s="78"/>
      <c r="E4" s="78"/>
      <c r="F4" s="78"/>
      <c r="G4" s="78"/>
      <c r="H4" s="79"/>
      <c r="I4" s="3"/>
      <c r="K4" s="13"/>
      <c r="L4" s="50" t="s">
        <v>225</v>
      </c>
      <c r="M4" s="51"/>
      <c r="N4" s="51"/>
      <c r="O4" s="51"/>
      <c r="P4" s="51"/>
      <c r="Q4" s="51"/>
      <c r="R4" s="51"/>
      <c r="S4" s="52"/>
      <c r="T4" s="3"/>
      <c r="V4" s="13"/>
      <c r="W4" s="50" t="s">
        <v>229</v>
      </c>
      <c r="X4" s="51"/>
      <c r="Y4" s="51"/>
      <c r="Z4" s="51"/>
      <c r="AA4" s="51"/>
      <c r="AB4" s="51"/>
      <c r="AC4" s="51"/>
      <c r="AD4" s="52"/>
      <c r="AE4" s="3"/>
      <c r="AG4" s="13"/>
      <c r="AH4" s="59" t="s">
        <v>230</v>
      </c>
      <c r="AI4" s="60"/>
      <c r="AJ4" s="60"/>
      <c r="AK4" s="60"/>
      <c r="AL4" s="60"/>
      <c r="AM4" s="60"/>
      <c r="AN4" s="60"/>
      <c r="AO4" s="61"/>
      <c r="AP4" s="3"/>
      <c r="AR4" s="13"/>
      <c r="AS4" s="59" t="s">
        <v>232</v>
      </c>
      <c r="AT4" s="60"/>
      <c r="AU4" s="60"/>
      <c r="AV4" s="60"/>
      <c r="AW4" s="60"/>
      <c r="AX4" s="60"/>
      <c r="AY4" s="60"/>
      <c r="AZ4" s="61"/>
      <c r="BA4" s="3"/>
      <c r="BC4" s="13"/>
      <c r="BD4" s="68" t="s">
        <v>233</v>
      </c>
      <c r="BE4" s="69"/>
      <c r="BF4" s="69"/>
      <c r="BG4" s="69"/>
      <c r="BH4" s="69"/>
      <c r="BI4" s="69"/>
      <c r="BJ4" s="69"/>
      <c r="BK4" s="70"/>
      <c r="BL4" s="3"/>
    </row>
    <row r="5" spans="1:64" x14ac:dyDescent="0.3">
      <c r="A5" s="13"/>
      <c r="B5" s="80"/>
      <c r="C5" s="81"/>
      <c r="D5" s="81"/>
      <c r="E5" s="81"/>
      <c r="F5" s="81"/>
      <c r="G5" s="81"/>
      <c r="H5" s="82"/>
      <c r="I5" s="3"/>
      <c r="K5" s="13"/>
      <c r="L5" s="53"/>
      <c r="M5" s="54"/>
      <c r="N5" s="54"/>
      <c r="O5" s="54"/>
      <c r="P5" s="54"/>
      <c r="Q5" s="54"/>
      <c r="R5" s="54"/>
      <c r="S5" s="55"/>
      <c r="T5" s="3"/>
      <c r="V5" s="13"/>
      <c r="W5" s="53"/>
      <c r="X5" s="54"/>
      <c r="Y5" s="54"/>
      <c r="Z5" s="54"/>
      <c r="AA5" s="54"/>
      <c r="AB5" s="54"/>
      <c r="AC5" s="54"/>
      <c r="AD5" s="55"/>
      <c r="AE5" s="3"/>
      <c r="AG5" s="13"/>
      <c r="AH5" s="62"/>
      <c r="AI5" s="63"/>
      <c r="AJ5" s="63"/>
      <c r="AK5" s="63"/>
      <c r="AL5" s="63"/>
      <c r="AM5" s="63"/>
      <c r="AN5" s="63"/>
      <c r="AO5" s="64"/>
      <c r="AP5" s="3"/>
      <c r="AR5" s="13"/>
      <c r="AS5" s="62"/>
      <c r="AT5" s="63"/>
      <c r="AU5" s="63"/>
      <c r="AV5" s="63"/>
      <c r="AW5" s="63"/>
      <c r="AX5" s="63"/>
      <c r="AY5" s="63"/>
      <c r="AZ5" s="64"/>
      <c r="BA5" s="3"/>
      <c r="BC5" s="13"/>
      <c r="BD5" s="71"/>
      <c r="BE5" s="72"/>
      <c r="BF5" s="72"/>
      <c r="BG5" s="72"/>
      <c r="BH5" s="72"/>
      <c r="BI5" s="72"/>
      <c r="BJ5" s="72"/>
      <c r="BK5" s="73"/>
      <c r="BL5" s="3"/>
    </row>
    <row r="6" spans="1:64" ht="15" thickBot="1" x14ac:dyDescent="0.35">
      <c r="A6" s="13"/>
      <c r="B6" s="83"/>
      <c r="C6" s="84"/>
      <c r="D6" s="84"/>
      <c r="E6" s="84"/>
      <c r="F6" s="84"/>
      <c r="G6" s="84"/>
      <c r="H6" s="85"/>
      <c r="I6" s="3"/>
      <c r="K6" s="13"/>
      <c r="L6" s="53"/>
      <c r="M6" s="54"/>
      <c r="N6" s="54"/>
      <c r="O6" s="54"/>
      <c r="P6" s="54"/>
      <c r="Q6" s="54"/>
      <c r="R6" s="54"/>
      <c r="S6" s="55"/>
      <c r="T6" s="3"/>
      <c r="V6" s="13"/>
      <c r="W6" s="56"/>
      <c r="X6" s="57"/>
      <c r="Y6" s="57"/>
      <c r="Z6" s="57"/>
      <c r="AA6" s="57"/>
      <c r="AB6" s="57"/>
      <c r="AC6" s="57"/>
      <c r="AD6" s="58"/>
      <c r="AE6" s="3"/>
      <c r="AG6" s="13"/>
      <c r="AH6" s="65"/>
      <c r="AI6" s="66"/>
      <c r="AJ6" s="66"/>
      <c r="AK6" s="66"/>
      <c r="AL6" s="66"/>
      <c r="AM6" s="66"/>
      <c r="AN6" s="66"/>
      <c r="AO6" s="67"/>
      <c r="AP6" s="3"/>
      <c r="AR6" s="13"/>
      <c r="AS6" s="65"/>
      <c r="AT6" s="66"/>
      <c r="AU6" s="66"/>
      <c r="AV6" s="66"/>
      <c r="AW6" s="66"/>
      <c r="AX6" s="66"/>
      <c r="AY6" s="66"/>
      <c r="AZ6" s="67"/>
      <c r="BA6" s="3"/>
      <c r="BC6" s="13"/>
      <c r="BD6" s="74"/>
      <c r="BE6" s="75"/>
      <c r="BF6" s="75"/>
      <c r="BG6" s="75"/>
      <c r="BH6" s="75"/>
      <c r="BI6" s="75"/>
      <c r="BJ6" s="75"/>
      <c r="BK6" s="76"/>
      <c r="BL6" s="3"/>
    </row>
    <row r="7" spans="1:64" ht="15" thickBot="1" x14ac:dyDescent="0.35">
      <c r="A7" s="13"/>
      <c r="B7" s="86" t="s">
        <v>212</v>
      </c>
      <c r="H7" s="9"/>
      <c r="I7" s="3"/>
      <c r="K7" s="13"/>
      <c r="L7" s="101" t="s">
        <v>216</v>
      </c>
      <c r="M7" s="99" t="s">
        <v>242</v>
      </c>
      <c r="N7" s="18"/>
      <c r="O7" s="18"/>
      <c r="P7" s="18"/>
      <c r="Q7" s="18"/>
      <c r="R7" s="18"/>
      <c r="S7" s="19"/>
      <c r="T7" s="3"/>
      <c r="V7" s="13"/>
      <c r="W7" s="94" t="s">
        <v>216</v>
      </c>
      <c r="X7" s="86" t="s">
        <v>242</v>
      </c>
      <c r="Y7" s="18"/>
      <c r="Z7" s="18"/>
      <c r="AA7" s="18"/>
      <c r="AB7" s="18"/>
      <c r="AC7" s="18"/>
      <c r="AD7" s="19"/>
      <c r="AE7" s="3"/>
      <c r="AG7" s="13"/>
      <c r="AH7" s="94" t="s">
        <v>216</v>
      </c>
      <c r="AI7" s="86" t="s">
        <v>244</v>
      </c>
      <c r="AJ7" s="18"/>
      <c r="AK7" s="18"/>
      <c r="AL7" s="18"/>
      <c r="AM7" s="18"/>
      <c r="AN7" s="18"/>
      <c r="AO7" s="19"/>
      <c r="AP7" s="3"/>
      <c r="AR7" s="13"/>
      <c r="AS7" s="24" t="s">
        <v>216</v>
      </c>
      <c r="AT7" s="29" t="s">
        <v>242</v>
      </c>
      <c r="AU7" s="18"/>
      <c r="AV7" s="24" t="s">
        <v>216</v>
      </c>
      <c r="AW7" s="29" t="s">
        <v>249</v>
      </c>
      <c r="AX7" s="18"/>
      <c r="AY7" s="18"/>
      <c r="AZ7" s="19"/>
      <c r="BA7" s="3"/>
      <c r="BC7" s="13"/>
      <c r="BD7" s="94" t="s">
        <v>216</v>
      </c>
      <c r="BE7" s="86" t="s">
        <v>245</v>
      </c>
      <c r="BF7" s="18"/>
      <c r="BG7" s="18"/>
      <c r="BH7" s="18"/>
      <c r="BI7" s="18"/>
      <c r="BJ7" s="18"/>
      <c r="BK7" s="19"/>
      <c r="BL7" s="3"/>
    </row>
    <row r="8" spans="1:64" x14ac:dyDescent="0.3">
      <c r="A8" s="13"/>
      <c r="B8" s="93">
        <v>1254292.4100000001</v>
      </c>
      <c r="D8" s="16">
        <f>IFERROR(GETPIVOTDATA("سعر البيع ",$B$7), "NA")</f>
        <v>1254292.4100000001</v>
      </c>
      <c r="H8" s="9"/>
      <c r="I8" s="3"/>
      <c r="K8" s="13"/>
      <c r="L8" s="102" t="s">
        <v>41</v>
      </c>
      <c r="M8" s="89">
        <v>480602</v>
      </c>
      <c r="S8" s="9"/>
      <c r="T8" s="3"/>
      <c r="V8" s="13"/>
      <c r="W8" s="95" t="s">
        <v>28</v>
      </c>
      <c r="X8" s="87">
        <v>869639</v>
      </c>
      <c r="AD8" s="9"/>
      <c r="AE8" s="3"/>
      <c r="AG8" s="13"/>
      <c r="AH8" s="95" t="s">
        <v>35</v>
      </c>
      <c r="AI8" s="90">
        <v>0.6333333333333333</v>
      </c>
      <c r="AO8" s="9"/>
      <c r="AP8" s="3"/>
      <c r="AR8" s="13"/>
      <c r="AS8" s="25" t="s">
        <v>27</v>
      </c>
      <c r="AT8" s="21">
        <v>601627.90999999992</v>
      </c>
      <c r="AV8" s="25" t="s">
        <v>27</v>
      </c>
      <c r="AW8" s="97">
        <v>56</v>
      </c>
      <c r="AZ8" s="9"/>
      <c r="BA8" s="3"/>
      <c r="BC8" s="13"/>
      <c r="BD8" s="95" t="s">
        <v>25</v>
      </c>
      <c r="BE8" s="90">
        <v>0.7</v>
      </c>
      <c r="BK8" s="9"/>
      <c r="BL8" s="3"/>
    </row>
    <row r="9" spans="1:64" x14ac:dyDescent="0.3">
      <c r="A9" s="13"/>
      <c r="B9" s="10"/>
      <c r="C9" s="11"/>
      <c r="D9" s="11"/>
      <c r="E9" s="11"/>
      <c r="F9" s="11"/>
      <c r="G9" s="11"/>
      <c r="H9" s="12"/>
      <c r="I9" s="3"/>
      <c r="K9" s="13"/>
      <c r="L9" s="95" t="s">
        <v>32</v>
      </c>
      <c r="M9" s="87">
        <v>296821</v>
      </c>
      <c r="S9" s="9"/>
      <c r="T9" s="3"/>
      <c r="V9" s="13"/>
      <c r="W9" s="95" t="s">
        <v>59</v>
      </c>
      <c r="X9" s="87">
        <v>181962.5</v>
      </c>
      <c r="AD9" s="9"/>
      <c r="AE9" s="3"/>
      <c r="AG9" s="13"/>
      <c r="AH9" s="95" t="s">
        <v>49</v>
      </c>
      <c r="AI9" s="90">
        <v>0.32500000000000001</v>
      </c>
      <c r="AL9" s="20">
        <f>IFERROR(GETPIVOTDATA("حالة الالتزام",$AH$7,"حالة الالتزام","في الموعد"), "NA")</f>
        <v>4.1666666666666664E-2</v>
      </c>
      <c r="AO9" s="9"/>
      <c r="AP9" s="3"/>
      <c r="AR9" s="13"/>
      <c r="AS9" s="26" t="s">
        <v>45</v>
      </c>
      <c r="AT9" s="22">
        <v>272815.5</v>
      </c>
      <c r="AV9" s="26" t="s">
        <v>45</v>
      </c>
      <c r="AW9" s="104">
        <v>28</v>
      </c>
      <c r="AZ9" s="9"/>
      <c r="BA9" s="3"/>
      <c r="BC9" s="13"/>
      <c r="BD9" s="96" t="s">
        <v>60</v>
      </c>
      <c r="BE9" s="90">
        <v>0.3</v>
      </c>
      <c r="BK9" s="9"/>
      <c r="BL9" s="3"/>
    </row>
    <row r="10" spans="1:64" x14ac:dyDescent="0.3">
      <c r="A10" s="13"/>
      <c r="I10" s="3"/>
      <c r="K10" s="13"/>
      <c r="L10" s="95" t="s">
        <v>62</v>
      </c>
      <c r="M10" s="87">
        <v>82208</v>
      </c>
      <c r="S10" s="9"/>
      <c r="T10" s="3"/>
      <c r="V10" s="13"/>
      <c r="W10" s="95" t="s">
        <v>72</v>
      </c>
      <c r="X10" s="87">
        <v>70650</v>
      </c>
      <c r="AD10" s="9"/>
      <c r="AE10" s="3"/>
      <c r="AG10" s="13"/>
      <c r="AH10" s="96" t="s">
        <v>160</v>
      </c>
      <c r="AI10" s="90">
        <v>4.1666666666666664E-2</v>
      </c>
      <c r="AO10" s="9"/>
      <c r="AP10" s="3"/>
      <c r="AR10" s="13"/>
      <c r="AS10" s="26" t="s">
        <v>51</v>
      </c>
      <c r="AT10" s="22">
        <v>148468</v>
      </c>
      <c r="AV10" s="26" t="s">
        <v>51</v>
      </c>
      <c r="AW10" s="104">
        <v>13</v>
      </c>
      <c r="AZ10" s="9"/>
      <c r="BA10" s="3"/>
      <c r="BC10" s="13"/>
      <c r="BD10" s="96" t="s">
        <v>223</v>
      </c>
      <c r="BE10" s="91">
        <v>1</v>
      </c>
      <c r="BF10" s="11"/>
      <c r="BG10" s="11"/>
      <c r="BH10" s="11"/>
      <c r="BI10" s="11"/>
      <c r="BJ10" s="11"/>
      <c r="BK10" s="12"/>
      <c r="BL10" s="3"/>
    </row>
    <row r="11" spans="1:64" x14ac:dyDescent="0.3">
      <c r="A11" s="13"/>
      <c r="B11" s="77" t="s">
        <v>213</v>
      </c>
      <c r="C11" s="78"/>
      <c r="D11" s="78"/>
      <c r="E11" s="78"/>
      <c r="F11" s="78"/>
      <c r="G11" s="78"/>
      <c r="H11" s="79"/>
      <c r="I11" s="3"/>
      <c r="K11" s="13"/>
      <c r="L11" s="95" t="s">
        <v>170</v>
      </c>
      <c r="M11" s="87">
        <v>25927</v>
      </c>
      <c r="S11" s="9"/>
      <c r="T11" s="3"/>
      <c r="V11" s="13"/>
      <c r="W11" s="95" t="s">
        <v>88</v>
      </c>
      <c r="X11" s="87">
        <v>58031.91</v>
      </c>
      <c r="AD11" s="9"/>
      <c r="AE11" s="3"/>
      <c r="AG11" s="13"/>
      <c r="AH11" s="96" t="s">
        <v>223</v>
      </c>
      <c r="AI11" s="91">
        <v>1</v>
      </c>
      <c r="AJ11" s="11"/>
      <c r="AK11" s="11"/>
      <c r="AL11" s="11"/>
      <c r="AM11" s="11"/>
      <c r="AN11" s="11"/>
      <c r="AO11" s="12"/>
      <c r="AP11" s="3"/>
      <c r="AR11" s="13"/>
      <c r="AS11" s="26" t="s">
        <v>67</v>
      </c>
      <c r="AT11" s="22">
        <v>69084</v>
      </c>
      <c r="AV11" s="26" t="s">
        <v>67</v>
      </c>
      <c r="AW11" s="104">
        <v>8</v>
      </c>
      <c r="AZ11" s="9"/>
      <c r="BA11" s="3"/>
      <c r="BC11" s="13"/>
      <c r="BL11" s="3"/>
    </row>
    <row r="12" spans="1:64" x14ac:dyDescent="0.3">
      <c r="A12" s="13"/>
      <c r="B12" s="80"/>
      <c r="C12" s="81"/>
      <c r="D12" s="81"/>
      <c r="E12" s="81"/>
      <c r="F12" s="81"/>
      <c r="G12" s="81"/>
      <c r="H12" s="82"/>
      <c r="I12" s="3"/>
      <c r="K12" s="13"/>
      <c r="L12" s="95" t="s">
        <v>125</v>
      </c>
      <c r="M12" s="87">
        <v>25244</v>
      </c>
      <c r="S12" s="9"/>
      <c r="T12" s="3"/>
      <c r="V12" s="13"/>
      <c r="W12" s="95" t="s">
        <v>67</v>
      </c>
      <c r="X12" s="87">
        <v>29708</v>
      </c>
      <c r="AD12" s="9"/>
      <c r="AE12" s="3"/>
      <c r="AG12" s="13"/>
      <c r="AP12" s="3"/>
      <c r="AR12" s="13"/>
      <c r="AS12" s="26" t="s">
        <v>107</v>
      </c>
      <c r="AT12" s="22">
        <v>54762</v>
      </c>
      <c r="AV12" s="26" t="s">
        <v>107</v>
      </c>
      <c r="AW12" s="104">
        <v>5</v>
      </c>
      <c r="AY12" s="15" t="str">
        <f>IFERROR(AS8, "NA")</f>
        <v>القاهرة</v>
      </c>
      <c r="AZ12" s="9"/>
      <c r="BA12" s="3"/>
      <c r="BC12" s="13"/>
      <c r="BD12" s="59" t="s">
        <v>234</v>
      </c>
      <c r="BE12" s="60"/>
      <c r="BF12" s="60"/>
      <c r="BG12" s="60"/>
      <c r="BH12" s="60"/>
      <c r="BI12" s="60"/>
      <c r="BJ12" s="60"/>
      <c r="BK12" s="61"/>
      <c r="BL12" s="3"/>
    </row>
    <row r="13" spans="1:64" x14ac:dyDescent="0.3">
      <c r="A13" s="13"/>
      <c r="B13" s="83"/>
      <c r="C13" s="84"/>
      <c r="D13" s="84"/>
      <c r="E13" s="84"/>
      <c r="F13" s="84"/>
      <c r="G13" s="84"/>
      <c r="H13" s="85"/>
      <c r="I13" s="3"/>
      <c r="K13" s="13"/>
      <c r="L13" s="95" t="s">
        <v>159</v>
      </c>
      <c r="M13" s="87">
        <v>20085</v>
      </c>
      <c r="S13" s="9"/>
      <c r="T13" s="3"/>
      <c r="V13" s="13"/>
      <c r="W13" s="95" t="s">
        <v>63</v>
      </c>
      <c r="X13" s="87">
        <v>27250</v>
      </c>
      <c r="AD13" s="9"/>
      <c r="AE13" s="3"/>
      <c r="AG13" s="13"/>
      <c r="AH13" s="59" t="s">
        <v>231</v>
      </c>
      <c r="AI13" s="60"/>
      <c r="AJ13" s="60"/>
      <c r="AK13" s="60"/>
      <c r="AL13" s="60"/>
      <c r="AM13" s="60"/>
      <c r="AN13" s="60"/>
      <c r="AO13" s="61"/>
      <c r="AP13" s="3"/>
      <c r="AR13" s="13"/>
      <c r="AS13" s="26" t="s">
        <v>52</v>
      </c>
      <c r="AT13" s="22">
        <v>41640</v>
      </c>
      <c r="AV13" s="26" t="s">
        <v>100</v>
      </c>
      <c r="AW13" s="104">
        <v>4</v>
      </c>
      <c r="AZ13" s="9"/>
      <c r="BA13" s="3"/>
      <c r="BC13" s="13"/>
      <c r="BD13" s="62"/>
      <c r="BE13" s="63"/>
      <c r="BF13" s="63"/>
      <c r="BG13" s="63"/>
      <c r="BH13" s="63"/>
      <c r="BI13" s="63"/>
      <c r="BJ13" s="63"/>
      <c r="BK13" s="64"/>
      <c r="BL13" s="3"/>
    </row>
    <row r="14" spans="1:64" x14ac:dyDescent="0.3">
      <c r="A14" s="13"/>
      <c r="B14" s="86" t="s">
        <v>213</v>
      </c>
      <c r="H14" s="9"/>
      <c r="I14" s="3"/>
      <c r="K14" s="13"/>
      <c r="L14" s="95" t="s">
        <v>69</v>
      </c>
      <c r="M14" s="87">
        <v>18316</v>
      </c>
      <c r="S14" s="9"/>
      <c r="T14" s="3"/>
      <c r="V14" s="13"/>
      <c r="W14" s="95" t="s">
        <v>175</v>
      </c>
      <c r="X14" s="87">
        <v>9655</v>
      </c>
      <c r="AD14" s="9"/>
      <c r="AE14" s="3"/>
      <c r="AG14" s="13"/>
      <c r="AH14" s="62"/>
      <c r="AI14" s="63"/>
      <c r="AJ14" s="63"/>
      <c r="AK14" s="63"/>
      <c r="AL14" s="63"/>
      <c r="AM14" s="63"/>
      <c r="AN14" s="63"/>
      <c r="AO14" s="64"/>
      <c r="AP14" s="3"/>
      <c r="AR14" s="13"/>
      <c r="AS14" s="26" t="s">
        <v>100</v>
      </c>
      <c r="AT14" s="22">
        <v>28608</v>
      </c>
      <c r="AV14" s="26" t="s">
        <v>52</v>
      </c>
      <c r="AW14" s="104">
        <v>3</v>
      </c>
      <c r="AZ14" s="9"/>
      <c r="BA14" s="3"/>
      <c r="BC14" s="13"/>
      <c r="BD14" s="65"/>
      <c r="BE14" s="66"/>
      <c r="BF14" s="66"/>
      <c r="BG14" s="66"/>
      <c r="BH14" s="66"/>
      <c r="BI14" s="66"/>
      <c r="BJ14" s="66"/>
      <c r="BK14" s="67"/>
      <c r="BL14" s="3"/>
    </row>
    <row r="15" spans="1:64" x14ac:dyDescent="0.3">
      <c r="A15" s="13"/>
      <c r="B15" s="93">
        <v>120</v>
      </c>
      <c r="D15" s="4">
        <f>IFERROR(GETPIVOTDATA("أسم العميل",$B$14), "NA")</f>
        <v>120</v>
      </c>
      <c r="H15" s="9"/>
      <c r="I15" s="3"/>
      <c r="K15" s="13"/>
      <c r="L15" s="95" t="s">
        <v>116</v>
      </c>
      <c r="M15" s="87">
        <v>15328</v>
      </c>
      <c r="S15" s="9"/>
      <c r="T15" s="3"/>
      <c r="V15" s="13"/>
      <c r="W15" s="96" t="s">
        <v>188</v>
      </c>
      <c r="X15" s="87">
        <v>7396</v>
      </c>
      <c r="AD15" s="9"/>
      <c r="AE15" s="3"/>
      <c r="AG15" s="13"/>
      <c r="AH15" s="65"/>
      <c r="AI15" s="66"/>
      <c r="AJ15" s="66"/>
      <c r="AK15" s="66"/>
      <c r="AL15" s="66"/>
      <c r="AM15" s="66"/>
      <c r="AN15" s="66"/>
      <c r="AO15" s="67"/>
      <c r="AP15" s="3"/>
      <c r="AR15" s="13"/>
      <c r="AS15" s="26" t="s">
        <v>82</v>
      </c>
      <c r="AT15" s="22">
        <v>24288</v>
      </c>
      <c r="AV15" s="26" t="s">
        <v>82</v>
      </c>
      <c r="AW15" s="104">
        <v>2</v>
      </c>
      <c r="AZ15" s="9"/>
      <c r="BA15" s="3"/>
      <c r="BC15" s="13"/>
      <c r="BD15" s="94" t="s">
        <v>216</v>
      </c>
      <c r="BE15" s="86" t="s">
        <v>246</v>
      </c>
      <c r="BF15" s="18"/>
      <c r="BG15" s="18"/>
      <c r="BH15" s="18"/>
      <c r="BI15" s="18"/>
      <c r="BJ15" s="18"/>
      <c r="BK15" s="19"/>
      <c r="BL15" s="3"/>
    </row>
    <row r="16" spans="1:64" ht="15" thickBot="1" x14ac:dyDescent="0.35">
      <c r="A16" s="13"/>
      <c r="B16" s="10"/>
      <c r="C16" s="11"/>
      <c r="D16" s="11"/>
      <c r="E16" s="11"/>
      <c r="F16" s="11"/>
      <c r="G16" s="11"/>
      <c r="H16" s="12"/>
      <c r="I16" s="3"/>
      <c r="K16" s="13"/>
      <c r="L16" s="96" t="s">
        <v>156</v>
      </c>
      <c r="M16" s="87">
        <v>6250</v>
      </c>
      <c r="S16" s="9"/>
      <c r="T16" s="3"/>
      <c r="V16" s="5"/>
      <c r="W16" s="96" t="s">
        <v>223</v>
      </c>
      <c r="X16" s="88">
        <v>1254292.4100000001</v>
      </c>
      <c r="Y16" s="6"/>
      <c r="Z16" s="6"/>
      <c r="AA16" s="6"/>
      <c r="AB16" s="6"/>
      <c r="AC16" s="6"/>
      <c r="AD16" s="14"/>
      <c r="AE16" s="7"/>
      <c r="AG16" s="13"/>
      <c r="AH16" s="94" t="s">
        <v>216</v>
      </c>
      <c r="AI16" s="86" t="s">
        <v>244</v>
      </c>
      <c r="AJ16" s="18"/>
      <c r="AK16" s="18"/>
      <c r="AL16" s="18"/>
      <c r="AM16" s="18"/>
      <c r="AN16" s="18"/>
      <c r="AO16" s="19"/>
      <c r="AP16" s="3"/>
      <c r="AR16" s="13"/>
      <c r="AS16" s="27" t="s">
        <v>119</v>
      </c>
      <c r="AT16" s="22">
        <v>12999</v>
      </c>
      <c r="AV16" s="27" t="s">
        <v>119</v>
      </c>
      <c r="AW16" s="104">
        <v>1</v>
      </c>
      <c r="AZ16" s="9"/>
      <c r="BA16" s="3"/>
      <c r="BC16" s="13"/>
      <c r="BD16" s="95" t="s">
        <v>42</v>
      </c>
      <c r="BE16" s="105">
        <v>0.47499999999999998</v>
      </c>
      <c r="BK16" s="9"/>
      <c r="BL16" s="3"/>
    </row>
    <row r="17" spans="1:64" ht="15" thickBot="1" x14ac:dyDescent="0.35">
      <c r="A17" s="13"/>
      <c r="I17" s="3"/>
      <c r="K17" s="13"/>
      <c r="L17" s="103" t="s">
        <v>223</v>
      </c>
      <c r="M17" s="88">
        <v>970781</v>
      </c>
      <c r="N17" s="11"/>
      <c r="O17" s="11"/>
      <c r="P17" s="11"/>
      <c r="Q17" s="11"/>
      <c r="R17" s="11"/>
      <c r="S17" s="12"/>
      <c r="T17" s="3"/>
      <c r="AG17" s="13"/>
      <c r="AH17" s="95" t="s">
        <v>38</v>
      </c>
      <c r="AI17" s="90">
        <v>0.83333333333333337</v>
      </c>
      <c r="AO17" s="9"/>
      <c r="AP17" s="3"/>
      <c r="AR17" s="5"/>
      <c r="AS17" s="28" t="s">
        <v>223</v>
      </c>
      <c r="AT17" s="23">
        <v>1254292.4099999999</v>
      </c>
      <c r="AU17" s="6"/>
      <c r="AV17" s="28" t="s">
        <v>223</v>
      </c>
      <c r="AW17" s="98">
        <v>120</v>
      </c>
      <c r="AX17" s="6"/>
      <c r="AY17" s="6"/>
      <c r="AZ17" s="14"/>
      <c r="BA17" s="7"/>
      <c r="BC17" s="13"/>
      <c r="BD17" s="95" t="s">
        <v>48</v>
      </c>
      <c r="BE17" s="105">
        <v>0.32500000000000001</v>
      </c>
      <c r="BH17" s="8"/>
      <c r="BK17" s="9"/>
      <c r="BL17" s="3"/>
    </row>
    <row r="18" spans="1:64" x14ac:dyDescent="0.3">
      <c r="A18" s="13"/>
      <c r="B18" s="77" t="s">
        <v>214</v>
      </c>
      <c r="C18" s="78"/>
      <c r="D18" s="78"/>
      <c r="E18" s="78"/>
      <c r="F18" s="78"/>
      <c r="G18" s="78"/>
      <c r="H18" s="79"/>
      <c r="I18" s="3"/>
      <c r="K18" s="13"/>
      <c r="M18"/>
      <c r="T18" s="3"/>
      <c r="AG18" s="13"/>
      <c r="AH18" s="95" t="s">
        <v>77</v>
      </c>
      <c r="AI18" s="90">
        <v>0.15833333333333333</v>
      </c>
      <c r="AL18" s="20">
        <f>IFERROR(GETPIVOTDATA("الحالة",$AH$16,"الحالة","فشل التسليم"), "NA")</f>
        <v>0.15833333333333333</v>
      </c>
      <c r="AO18" s="9"/>
      <c r="AP18" s="3"/>
      <c r="BC18" s="13"/>
      <c r="BD18" s="96" t="s">
        <v>34</v>
      </c>
      <c r="BE18" s="105">
        <v>0.2</v>
      </c>
      <c r="BK18" s="9"/>
      <c r="BL18" s="3"/>
    </row>
    <row r="19" spans="1:64" ht="15" thickBot="1" x14ac:dyDescent="0.35">
      <c r="A19" s="13"/>
      <c r="B19" s="80"/>
      <c r="C19" s="81"/>
      <c r="D19" s="81"/>
      <c r="E19" s="81"/>
      <c r="F19" s="81"/>
      <c r="G19" s="81"/>
      <c r="H19" s="82"/>
      <c r="I19" s="3"/>
      <c r="K19" s="13"/>
      <c r="L19" s="50" t="s">
        <v>228</v>
      </c>
      <c r="M19" s="51"/>
      <c r="N19" s="51"/>
      <c r="O19" s="51"/>
      <c r="P19" s="51"/>
      <c r="Q19" s="51"/>
      <c r="R19" s="51"/>
      <c r="S19" s="52"/>
      <c r="T19" s="3"/>
      <c r="AG19" s="13"/>
      <c r="AH19" s="96" t="s">
        <v>85</v>
      </c>
      <c r="AI19" s="90">
        <v>8.3333333333333332E-3</v>
      </c>
      <c r="AO19" s="9"/>
      <c r="AP19" s="3"/>
      <c r="BC19" s="5"/>
      <c r="BD19" s="96" t="s">
        <v>223</v>
      </c>
      <c r="BE19" s="106">
        <v>1</v>
      </c>
      <c r="BF19" s="6"/>
      <c r="BG19" s="6"/>
      <c r="BH19" s="6"/>
      <c r="BI19" s="6"/>
      <c r="BJ19" s="6"/>
      <c r="BK19" s="14"/>
      <c r="BL19" s="7"/>
    </row>
    <row r="20" spans="1:64" ht="15" thickBot="1" x14ac:dyDescent="0.35">
      <c r="A20" s="13"/>
      <c r="B20" s="80"/>
      <c r="C20" s="84"/>
      <c r="D20" s="84"/>
      <c r="E20" s="84"/>
      <c r="F20" s="84"/>
      <c r="G20" s="84"/>
      <c r="H20" s="85"/>
      <c r="I20" s="3"/>
      <c r="K20" s="13"/>
      <c r="L20" s="53"/>
      <c r="M20" s="54"/>
      <c r="N20" s="54"/>
      <c r="O20" s="54"/>
      <c r="P20" s="54"/>
      <c r="Q20" s="54"/>
      <c r="R20" s="54"/>
      <c r="S20" s="55"/>
      <c r="T20" s="3"/>
      <c r="AG20" s="5"/>
      <c r="AH20" s="96" t="s">
        <v>223</v>
      </c>
      <c r="AI20" s="91">
        <v>1</v>
      </c>
      <c r="AJ20" s="6"/>
      <c r="AK20" s="6"/>
      <c r="AL20" s="6"/>
      <c r="AM20" s="6"/>
      <c r="AN20" s="6"/>
      <c r="AO20" s="14"/>
      <c r="AP20" s="7"/>
    </row>
    <row r="21" spans="1:64" ht="15" thickBot="1" x14ac:dyDescent="0.35">
      <c r="A21" s="13"/>
      <c r="B21" s="30" t="s">
        <v>241</v>
      </c>
      <c r="H21" s="9"/>
      <c r="I21" s="3"/>
      <c r="K21" s="13"/>
      <c r="L21" s="56"/>
      <c r="M21" s="57"/>
      <c r="N21" s="57"/>
      <c r="O21" s="57"/>
      <c r="P21" s="57"/>
      <c r="Q21" s="57"/>
      <c r="R21" s="57"/>
      <c r="S21" s="58"/>
      <c r="T21" s="3"/>
    </row>
    <row r="22" spans="1:64" ht="15" thickBot="1" x14ac:dyDescent="0.35">
      <c r="A22" s="13"/>
      <c r="B22" s="100">
        <v>10452.436750000001</v>
      </c>
      <c r="D22" s="16">
        <f>IFERROR(GETPIVOTDATA("سعر البيع ",$B$21), "NA")</f>
        <v>10452.436750000001</v>
      </c>
      <c r="H22" s="9"/>
      <c r="I22" s="3"/>
      <c r="K22" s="13"/>
      <c r="L22" s="94" t="s">
        <v>216</v>
      </c>
      <c r="M22" s="86" t="s">
        <v>242</v>
      </c>
      <c r="N22" s="18"/>
      <c r="O22" s="18"/>
      <c r="P22" s="18"/>
      <c r="Q22" s="18"/>
      <c r="R22" s="18"/>
      <c r="S22" s="19"/>
      <c r="T22" s="3"/>
    </row>
    <row r="23" spans="1:64" x14ac:dyDescent="0.3">
      <c r="A23" s="13"/>
      <c r="B23" s="10"/>
      <c r="C23" s="11"/>
      <c r="D23" s="11"/>
      <c r="E23" s="11"/>
      <c r="F23" s="11"/>
      <c r="G23" s="11"/>
      <c r="H23" s="12"/>
      <c r="I23" s="3"/>
      <c r="K23" s="13"/>
      <c r="L23" s="95" t="s">
        <v>29</v>
      </c>
      <c r="M23" s="87">
        <v>815231.41</v>
      </c>
      <c r="S23" s="9"/>
      <c r="T23" s="3"/>
    </row>
    <row r="24" spans="1:64" x14ac:dyDescent="0.3">
      <c r="A24" s="13"/>
      <c r="I24" s="3"/>
      <c r="K24" s="13"/>
      <c r="L24" s="95" t="s">
        <v>61</v>
      </c>
      <c r="M24" s="87">
        <v>251234</v>
      </c>
      <c r="P24" s="4" t="str">
        <f>IFERROR(L23, "NA")</f>
        <v>سرير</v>
      </c>
      <c r="S24" s="9"/>
      <c r="T24" s="3"/>
    </row>
    <row r="25" spans="1:64" x14ac:dyDescent="0.3">
      <c r="A25" s="13"/>
      <c r="B25" s="41" t="s">
        <v>215</v>
      </c>
      <c r="C25" s="42"/>
      <c r="D25" s="42"/>
      <c r="E25" s="42"/>
      <c r="F25" s="42"/>
      <c r="G25" s="42"/>
      <c r="H25" s="43"/>
      <c r="I25" s="3"/>
      <c r="K25" s="13"/>
      <c r="L25" s="95" t="s">
        <v>53</v>
      </c>
      <c r="M25" s="87">
        <v>151027</v>
      </c>
      <c r="S25" s="9"/>
      <c r="T25" s="3"/>
    </row>
    <row r="26" spans="1:64" x14ac:dyDescent="0.3">
      <c r="A26" s="13"/>
      <c r="B26" s="44"/>
      <c r="C26" s="45"/>
      <c r="D26" s="45"/>
      <c r="E26" s="45"/>
      <c r="F26" s="45"/>
      <c r="G26" s="45"/>
      <c r="H26" s="46"/>
      <c r="I26" s="3"/>
      <c r="K26" s="13"/>
      <c r="L26" s="95" t="s">
        <v>73</v>
      </c>
      <c r="M26" s="87">
        <v>22000</v>
      </c>
      <c r="S26" s="9"/>
      <c r="T26" s="3"/>
    </row>
    <row r="27" spans="1:64" x14ac:dyDescent="0.3">
      <c r="A27" s="13"/>
      <c r="B27" s="47"/>
      <c r="C27" s="48"/>
      <c r="D27" s="48"/>
      <c r="E27" s="48"/>
      <c r="F27" s="48"/>
      <c r="G27" s="48"/>
      <c r="H27" s="49"/>
      <c r="I27" s="3"/>
      <c r="K27" s="13"/>
      <c r="L27" s="95" t="s">
        <v>91</v>
      </c>
      <c r="M27" s="87">
        <v>9300</v>
      </c>
      <c r="S27" s="9"/>
      <c r="T27" s="3"/>
    </row>
    <row r="28" spans="1:64" ht="15" thickBot="1" x14ac:dyDescent="0.35">
      <c r="A28" s="13"/>
      <c r="B28" s="94" t="s">
        <v>216</v>
      </c>
      <c r="C28" s="86" t="s">
        <v>242</v>
      </c>
      <c r="D28" s="18"/>
      <c r="E28" s="18"/>
      <c r="F28" s="18"/>
      <c r="G28" s="18"/>
      <c r="H28" s="19"/>
      <c r="I28" s="3"/>
      <c r="K28" s="13"/>
      <c r="L28" s="96" t="s">
        <v>164</v>
      </c>
      <c r="M28" s="87">
        <v>5500</v>
      </c>
      <c r="S28" s="9"/>
      <c r="T28" s="3"/>
    </row>
    <row r="29" spans="1:64" x14ac:dyDescent="0.3">
      <c r="A29" s="13"/>
      <c r="B29" s="95" t="s">
        <v>217</v>
      </c>
      <c r="C29" s="87">
        <v>31775</v>
      </c>
      <c r="H29" s="9"/>
      <c r="I29" s="3"/>
      <c r="K29" s="13"/>
      <c r="L29" s="96" t="s">
        <v>223</v>
      </c>
      <c r="M29" s="88">
        <v>1254292.4100000001</v>
      </c>
      <c r="N29" s="11"/>
      <c r="O29" s="11"/>
      <c r="P29" s="11"/>
      <c r="Q29" s="11"/>
      <c r="R29" s="11"/>
      <c r="S29" s="12"/>
      <c r="T29" s="3"/>
    </row>
    <row r="30" spans="1:64" x14ac:dyDescent="0.3">
      <c r="A30" s="13"/>
      <c r="B30" s="95" t="s">
        <v>218</v>
      </c>
      <c r="C30" s="87">
        <v>83253</v>
      </c>
      <c r="H30" s="9"/>
      <c r="I30" s="3"/>
      <c r="K30" s="13"/>
      <c r="T30" s="3"/>
    </row>
    <row r="31" spans="1:64" x14ac:dyDescent="0.3">
      <c r="A31" s="13"/>
      <c r="B31" s="95" t="s">
        <v>219</v>
      </c>
      <c r="C31" s="87">
        <v>654064</v>
      </c>
      <c r="H31" s="9"/>
      <c r="I31" s="3"/>
      <c r="K31" s="13"/>
      <c r="L31" s="50" t="s">
        <v>227</v>
      </c>
      <c r="M31" s="51"/>
      <c r="N31" s="51"/>
      <c r="O31" s="51"/>
      <c r="P31" s="51"/>
      <c r="Q31" s="51"/>
      <c r="R31" s="51"/>
      <c r="S31" s="52"/>
      <c r="T31" s="3"/>
    </row>
    <row r="32" spans="1:64" x14ac:dyDescent="0.3">
      <c r="A32" s="13"/>
      <c r="B32" s="95" t="s">
        <v>220</v>
      </c>
      <c r="C32" s="87">
        <v>213095.41</v>
      </c>
      <c r="H32" s="9"/>
      <c r="I32" s="3"/>
      <c r="K32" s="13"/>
      <c r="L32" s="53"/>
      <c r="M32" s="54"/>
      <c r="N32" s="54"/>
      <c r="O32" s="54"/>
      <c r="P32" s="54"/>
      <c r="Q32" s="54"/>
      <c r="R32" s="54"/>
      <c r="S32" s="55"/>
      <c r="T32" s="3"/>
    </row>
    <row r="33" spans="1:20" x14ac:dyDescent="0.3">
      <c r="A33" s="13"/>
      <c r="B33" s="95" t="s">
        <v>221</v>
      </c>
      <c r="C33" s="87">
        <v>184907</v>
      </c>
      <c r="H33" s="9"/>
      <c r="I33" s="3"/>
      <c r="K33" s="13"/>
      <c r="L33" s="56"/>
      <c r="M33" s="57"/>
      <c r="N33" s="57"/>
      <c r="O33" s="57"/>
      <c r="P33" s="57"/>
      <c r="Q33" s="57"/>
      <c r="R33" s="57"/>
      <c r="S33" s="58"/>
      <c r="T33" s="3"/>
    </row>
    <row r="34" spans="1:20" ht="15" thickBot="1" x14ac:dyDescent="0.35">
      <c r="A34" s="13"/>
      <c r="B34" s="96" t="s">
        <v>222</v>
      </c>
      <c r="C34" s="87">
        <v>71198</v>
      </c>
      <c r="H34" s="9"/>
      <c r="I34" s="3"/>
      <c r="K34" s="13"/>
      <c r="L34" s="94" t="s">
        <v>216</v>
      </c>
      <c r="M34" s="86" t="s">
        <v>247</v>
      </c>
      <c r="N34" s="18"/>
      <c r="O34" s="18"/>
      <c r="P34" s="18"/>
      <c r="Q34" s="18"/>
      <c r="R34" s="18"/>
      <c r="S34" s="19"/>
      <c r="T34" s="3"/>
    </row>
    <row r="35" spans="1:20" x14ac:dyDescent="0.3">
      <c r="A35" s="13"/>
      <c r="B35" s="96" t="s">
        <v>223</v>
      </c>
      <c r="C35" s="88">
        <v>1238292.4100000001</v>
      </c>
      <c r="D35" s="11"/>
      <c r="E35" s="11"/>
      <c r="F35" s="11"/>
      <c r="G35" s="11"/>
      <c r="H35" s="12"/>
      <c r="I35" s="3"/>
      <c r="K35" s="13"/>
      <c r="L35" s="95" t="s">
        <v>41</v>
      </c>
      <c r="M35" s="92">
        <v>42</v>
      </c>
      <c r="S35" s="9"/>
      <c r="T35" s="3"/>
    </row>
    <row r="36" spans="1:20" x14ac:dyDescent="0.3">
      <c r="A36" s="13"/>
      <c r="C36"/>
      <c r="I36" s="3"/>
      <c r="K36" s="13"/>
      <c r="L36" s="95" t="s">
        <v>32</v>
      </c>
      <c r="M36" s="92">
        <v>31</v>
      </c>
      <c r="S36" s="9"/>
      <c r="T36" s="3"/>
    </row>
    <row r="37" spans="1:20" x14ac:dyDescent="0.3">
      <c r="A37" s="13"/>
      <c r="B37" s="41" t="s">
        <v>224</v>
      </c>
      <c r="C37" s="42"/>
      <c r="D37" s="42"/>
      <c r="E37" s="42"/>
      <c r="F37" s="42"/>
      <c r="G37" s="42"/>
      <c r="H37" s="43"/>
      <c r="I37" s="3"/>
      <c r="K37" s="13"/>
      <c r="L37" s="95" t="s">
        <v>62</v>
      </c>
      <c r="M37" s="92">
        <v>7</v>
      </c>
      <c r="P37" s="4" t="str">
        <f>IFERROR(L35, "NA")</f>
        <v>اسود</v>
      </c>
      <c r="S37" s="9"/>
      <c r="T37" s="3"/>
    </row>
    <row r="38" spans="1:20" x14ac:dyDescent="0.3">
      <c r="A38" s="13"/>
      <c r="B38" s="44"/>
      <c r="C38" s="45"/>
      <c r="D38" s="45"/>
      <c r="E38" s="45"/>
      <c r="F38" s="45"/>
      <c r="G38" s="45"/>
      <c r="H38" s="46"/>
      <c r="I38" s="3"/>
      <c r="K38" s="13"/>
      <c r="L38" s="95" t="s">
        <v>69</v>
      </c>
      <c r="M38" s="92">
        <v>2</v>
      </c>
      <c r="S38" s="9"/>
      <c r="T38" s="3"/>
    </row>
    <row r="39" spans="1:20" x14ac:dyDescent="0.3">
      <c r="A39" s="13"/>
      <c r="B39" s="47"/>
      <c r="C39" s="48"/>
      <c r="D39" s="48"/>
      <c r="E39" s="48"/>
      <c r="F39" s="48"/>
      <c r="G39" s="48"/>
      <c r="H39" s="49"/>
      <c r="I39" s="3"/>
      <c r="K39" s="13"/>
      <c r="L39" s="95" t="s">
        <v>159</v>
      </c>
      <c r="M39" s="92">
        <v>2</v>
      </c>
      <c r="S39" s="9"/>
      <c r="T39" s="3"/>
    </row>
    <row r="40" spans="1:20" ht="15" thickBot="1" x14ac:dyDescent="0.35">
      <c r="A40" s="13"/>
      <c r="B40" s="94" t="s">
        <v>216</v>
      </c>
      <c r="C40" s="86" t="s">
        <v>243</v>
      </c>
      <c r="D40" s="18"/>
      <c r="E40" s="18"/>
      <c r="F40" s="18"/>
      <c r="G40" s="18"/>
      <c r="H40" s="19"/>
      <c r="I40" s="3"/>
      <c r="K40" s="13"/>
      <c r="L40" s="95" t="s">
        <v>170</v>
      </c>
      <c r="M40" s="92">
        <v>2</v>
      </c>
      <c r="S40" s="9"/>
      <c r="T40" s="3"/>
    </row>
    <row r="41" spans="1:20" x14ac:dyDescent="0.3">
      <c r="A41" s="13"/>
      <c r="B41" s="95" t="s">
        <v>217</v>
      </c>
      <c r="C41" s="92">
        <v>3</v>
      </c>
      <c r="H41" s="9"/>
      <c r="I41" s="3"/>
      <c r="K41" s="13"/>
      <c r="L41" s="95" t="s">
        <v>116</v>
      </c>
      <c r="M41" s="92">
        <v>2</v>
      </c>
      <c r="S41" s="9"/>
      <c r="T41" s="3"/>
    </row>
    <row r="42" spans="1:20" x14ac:dyDescent="0.3">
      <c r="A42" s="13"/>
      <c r="B42" s="95" t="s">
        <v>218</v>
      </c>
      <c r="C42" s="92">
        <v>8</v>
      </c>
      <c r="H42" s="9"/>
      <c r="I42" s="3"/>
      <c r="K42" s="13"/>
      <c r="L42" s="95" t="s">
        <v>125</v>
      </c>
      <c r="M42" s="92">
        <v>2</v>
      </c>
      <c r="S42" s="9"/>
      <c r="T42" s="3"/>
    </row>
    <row r="43" spans="1:20" ht="15" thickBot="1" x14ac:dyDescent="0.35">
      <c r="A43" s="13"/>
      <c r="B43" s="95" t="s">
        <v>219</v>
      </c>
      <c r="C43" s="92">
        <v>83</v>
      </c>
      <c r="H43" s="9"/>
      <c r="I43" s="3"/>
      <c r="K43" s="13"/>
      <c r="L43" s="96" t="s">
        <v>156</v>
      </c>
      <c r="M43" s="92">
        <v>1</v>
      </c>
      <c r="S43" s="9"/>
      <c r="T43" s="3"/>
    </row>
    <row r="44" spans="1:20" x14ac:dyDescent="0.3">
      <c r="A44" s="13"/>
      <c r="B44" s="95" t="s">
        <v>220</v>
      </c>
      <c r="C44" s="92">
        <v>21</v>
      </c>
      <c r="H44" s="9"/>
      <c r="I44" s="3"/>
      <c r="K44" s="13"/>
      <c r="L44" s="96" t="s">
        <v>223</v>
      </c>
      <c r="M44" s="93">
        <v>91</v>
      </c>
      <c r="N44" s="11"/>
      <c r="O44" s="11"/>
      <c r="P44" s="11"/>
      <c r="Q44" s="11"/>
      <c r="R44" s="11"/>
      <c r="S44" s="12"/>
      <c r="T44" s="3"/>
    </row>
    <row r="45" spans="1:20" x14ac:dyDescent="0.3">
      <c r="A45" s="13"/>
      <c r="B45" s="95" t="s">
        <v>221</v>
      </c>
      <c r="C45" s="92">
        <v>20</v>
      </c>
      <c r="H45" s="9"/>
      <c r="I45" s="3"/>
      <c r="K45" s="13"/>
      <c r="T45" s="3"/>
    </row>
    <row r="46" spans="1:20" ht="15" thickBot="1" x14ac:dyDescent="0.35">
      <c r="A46" s="13"/>
      <c r="B46" s="96" t="s">
        <v>222</v>
      </c>
      <c r="C46" s="92">
        <v>7</v>
      </c>
      <c r="H46" s="9"/>
      <c r="I46" s="3"/>
      <c r="K46" s="13"/>
      <c r="L46" s="50" t="s">
        <v>226</v>
      </c>
      <c r="M46" s="51"/>
      <c r="N46" s="51"/>
      <c r="O46" s="51"/>
      <c r="P46" s="51"/>
      <c r="Q46" s="51"/>
      <c r="R46" s="51"/>
      <c r="S46" s="52"/>
      <c r="T46" s="3"/>
    </row>
    <row r="47" spans="1:20" ht="15" thickBot="1" x14ac:dyDescent="0.35">
      <c r="A47" s="5"/>
      <c r="B47" s="96" t="s">
        <v>223</v>
      </c>
      <c r="C47" s="93">
        <v>142</v>
      </c>
      <c r="D47" s="6"/>
      <c r="E47" s="6"/>
      <c r="F47" s="6"/>
      <c r="G47" s="6"/>
      <c r="H47" s="14"/>
      <c r="I47" s="7"/>
      <c r="K47" s="13"/>
      <c r="L47" s="53"/>
      <c r="M47" s="54"/>
      <c r="N47" s="54"/>
      <c r="O47" s="54"/>
      <c r="P47" s="54"/>
      <c r="Q47" s="54"/>
      <c r="R47" s="54"/>
      <c r="S47" s="55"/>
      <c r="T47" s="3"/>
    </row>
    <row r="48" spans="1:20" x14ac:dyDescent="0.3">
      <c r="K48" s="13"/>
      <c r="L48" s="56"/>
      <c r="M48" s="57"/>
      <c r="N48" s="57"/>
      <c r="O48" s="57"/>
      <c r="P48" s="57"/>
      <c r="Q48" s="57"/>
      <c r="R48" s="57"/>
      <c r="S48" s="58"/>
      <c r="T48" s="3"/>
    </row>
    <row r="49" spans="11:20" ht="15" thickBot="1" x14ac:dyDescent="0.35">
      <c r="K49" s="13"/>
      <c r="L49" s="94" t="s">
        <v>216</v>
      </c>
      <c r="M49" s="86" t="s">
        <v>248</v>
      </c>
      <c r="N49" s="18"/>
      <c r="O49" s="18"/>
      <c r="P49" s="18"/>
      <c r="Q49" s="18"/>
      <c r="R49" s="18"/>
      <c r="S49" s="19"/>
      <c r="T49" s="3"/>
    </row>
    <row r="50" spans="11:20" x14ac:dyDescent="0.3">
      <c r="K50" s="13"/>
      <c r="L50" s="95" t="s">
        <v>29</v>
      </c>
      <c r="M50" s="92">
        <v>83</v>
      </c>
      <c r="S50" s="9"/>
      <c r="T50" s="3"/>
    </row>
    <row r="51" spans="11:20" x14ac:dyDescent="0.3">
      <c r="K51" s="13"/>
      <c r="L51" s="95" t="s">
        <v>53</v>
      </c>
      <c r="M51" s="92">
        <v>17</v>
      </c>
      <c r="S51" s="9"/>
      <c r="T51" s="3"/>
    </row>
    <row r="52" spans="11:20" x14ac:dyDescent="0.3">
      <c r="K52" s="13"/>
      <c r="L52" s="95" t="s">
        <v>61</v>
      </c>
      <c r="M52" s="92">
        <v>17</v>
      </c>
      <c r="S52" s="9"/>
      <c r="T52" s="3"/>
    </row>
    <row r="53" spans="11:20" x14ac:dyDescent="0.3">
      <c r="K53" s="13"/>
      <c r="L53" s="95" t="s">
        <v>73</v>
      </c>
      <c r="M53" s="92">
        <v>1</v>
      </c>
      <c r="S53" s="9"/>
      <c r="T53" s="3"/>
    </row>
    <row r="54" spans="11:20" x14ac:dyDescent="0.3">
      <c r="K54" s="13"/>
      <c r="L54" s="95" t="s">
        <v>91</v>
      </c>
      <c r="M54" s="92">
        <v>1</v>
      </c>
      <c r="S54" s="9"/>
      <c r="T54" s="3"/>
    </row>
    <row r="55" spans="11:20" ht="15" thickBot="1" x14ac:dyDescent="0.35">
      <c r="K55" s="13"/>
      <c r="L55" s="96" t="s">
        <v>164</v>
      </c>
      <c r="M55" s="92">
        <v>1</v>
      </c>
      <c r="S55" s="9"/>
      <c r="T55" s="3"/>
    </row>
    <row r="56" spans="11:20" ht="15" thickBot="1" x14ac:dyDescent="0.35">
      <c r="K56" s="5"/>
      <c r="L56" s="96" t="s">
        <v>223</v>
      </c>
      <c r="M56" s="93">
        <v>120</v>
      </c>
      <c r="N56" s="6"/>
      <c r="O56" s="6"/>
      <c r="P56" s="6"/>
      <c r="Q56" s="6"/>
      <c r="R56" s="6"/>
      <c r="S56" s="14"/>
      <c r="T56" s="7"/>
    </row>
  </sheetData>
  <mergeCells count="21">
    <mergeCell ref="L46:S48"/>
    <mergeCell ref="W4:AD6"/>
    <mergeCell ref="AH4:AO6"/>
    <mergeCell ref="AH13:AO15"/>
    <mergeCell ref="AS4:AZ6"/>
    <mergeCell ref="B37:H39"/>
    <mergeCell ref="L4:S6"/>
    <mergeCell ref="L19:S21"/>
    <mergeCell ref="L31:S33"/>
    <mergeCell ref="BD12:BK14"/>
    <mergeCell ref="BD4:BK6"/>
    <mergeCell ref="B4:H6"/>
    <mergeCell ref="B11:H13"/>
    <mergeCell ref="B18:H20"/>
    <mergeCell ref="B25:H27"/>
    <mergeCell ref="AR1:BA3"/>
    <mergeCell ref="BC1:BL3"/>
    <mergeCell ref="A1:I3"/>
    <mergeCell ref="K1:T3"/>
    <mergeCell ref="V1:AE3"/>
    <mergeCell ref="AG1:AP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365B-5E75-4D53-81E9-335C4E80D70D}">
  <dimension ref="E4:E33"/>
  <sheetViews>
    <sheetView zoomScale="98" zoomScaleNormal="188" workbookViewId="0">
      <selection activeCell="R19" sqref="R19"/>
    </sheetView>
  </sheetViews>
  <sheetFormatPr defaultRowHeight="14.4" x14ac:dyDescent="0.3"/>
  <cols>
    <col min="1" max="16384" width="8.88671875" style="17"/>
  </cols>
  <sheetData>
    <row r="4" ht="9" customHeight="1" x14ac:dyDescent="0.3"/>
    <row r="33" spans="5:5" x14ac:dyDescent="0.3">
      <c r="E33"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ED1F-89BC-47EA-9ED3-66A07CA69376}">
  <dimension ref="A1"/>
  <sheetViews>
    <sheetView zoomScale="96" workbookViewId="0"/>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F464A-27E9-4A6C-BA26-32CA7C64046F}">
  <dimension ref="A1"/>
  <sheetViews>
    <sheetView zoomScale="98" workbookViewId="0"/>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C142F9-A48B-4177-B5F6-5D3952D312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MISUO</vt:lpstr>
      <vt:lpstr>Pivot_Tables</vt:lpstr>
      <vt:lpstr>Overview</vt:lpstr>
      <vt:lpstr>Sales &amp; Market Analysis</vt:lpstr>
      <vt:lpstr>Product &amp; Customer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Sobhy</dc:creator>
  <cp:lastModifiedBy>احمد صبحى رفاعى محمود</cp:lastModifiedBy>
  <dcterms:created xsi:type="dcterms:W3CDTF">2015-06-05T18:17:20Z</dcterms:created>
  <dcterms:modified xsi:type="dcterms:W3CDTF">2026-02-07T19:43:23Z</dcterms:modified>
</cp:coreProperties>
</file>