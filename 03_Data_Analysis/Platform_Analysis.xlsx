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805D9F85-BB12-4245-8ACC-8993852502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لبيانات" sheetId="1" r:id="rId1"/>
    <sheet name="Pivot_Tables" sheetId="7" r:id="rId2"/>
    <sheet name="Charts" sheetId="6" r:id="rId3"/>
  </sheets>
  <definedNames>
    <definedName name="_xlnm._FilterDatabase" localSheetId="0" hidden="1">البيانات!$A$1:$X$121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S26" i="1" l="1"/>
  <c r="U26" i="1" s="1"/>
  <c r="T121" i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<sst xmlns="http://schemas.openxmlformats.org/spreadsheetml/2006/main" count="1398" uniqueCount="208">
  <si>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</si>
  <si>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</si>
  <si>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</si>
  <si>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</si>
  <si>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</si>
  <si>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</si>
  <si>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</si>
  <si>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</si>
  <si>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</si>
  <si>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</si>
  <si>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</si>
  <si>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</si>
  <si>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</si>
  <si>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</si>
  <si>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</si>
  <si>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</si>
  <si>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</si>
  <si>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</si>
  <si>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</si>
  <si>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</si>
  <si>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</si>
  <si>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</si>
  <si>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</si>
  <si>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</si>
  <si>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</si>
  <si>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</si>
  <si>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</si>
  <si>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</si>
  <si>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</si>
  <si>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</si>
  <si>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</si>
  <si>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</si>
  <si>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</si>
  <si>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</si>
  <si>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</si>
  <si>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</si>
  <si>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</si>
  <si>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</si>
  <si>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</si>
  <si>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</si>
  <si>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</si>
  <si>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</si>
  <si>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</si>
  <si>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</si>
  <si>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</si>
  <si>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</si>
  <si>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</si>
  <si>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</si>
  <si>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</si>
  <si>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</si>
  <si>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</si>
  <si>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</si>
  <si>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</si>
  <si>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</si>
  <si>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</si>
  <si>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</si>
  <si>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</si>
  <si>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</si>
  <si>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</si>
  <si>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</si>
  <si>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</si>
  <si>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</si>
  <si>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</si>
  <si>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</si>
  <si>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</si>
  <si>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</si>
  <si>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</si>
  <si>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</si>
  <si>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</si>
  <si>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</si>
  <si>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</si>
  <si>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</si>
  <si>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</si>
  <si>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</si>
  <si>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</si>
  <si>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</si>
  <si>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</si>
  <si>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</si>
  <si>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</si>
  <si>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</si>
  <si>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</si>
  <si>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</si>
  <si>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</si>
  <si>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</si>
  <si>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</si>
  <si>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</si>
  <si>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</si>
  <si>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</si>
  <si>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</si>
  <si>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</si>
  <si>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</si>
  <si>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</si>
  <si>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</si>
  <si>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</si>
  <si>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</si>
  <si>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</si>
  <si>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</si>
  <si>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</si>
  <si>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</si>
  <si>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</si>
  <si>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</si>
  <si>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</si>
  <si>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</si>
  <si>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</si>
  <si>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</si>
  <si>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</si>
  <si>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</si>
  <si>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</si>
  <si>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</si>
  <si>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</si>
  <si>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</si>
  <si>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</si>
  <si>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</si>
  <si>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</si>
  <si>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</si>
  <si>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</si>
  <si>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</si>
  <si>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</si>
  <si>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</si>
  <si>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</si>
  <si>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</si>
  <si>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</si>
  <si>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</si>
  <si>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</si>
  <si>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</si>
  <si>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</si>
  <si>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</si>
  <si>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</si>
  <si>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</si>
  <si>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</si>
  <si>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</si>
  <si>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</si>
  <si>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</si>
  <si>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</si>
  <si>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</si>
  <si>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</si>
  <si>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</si>
  <si>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</si>
  <si>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</si>
  <si>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</si>
  <si>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</si>
  <si>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</si>
  <si>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</si>
  <si>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</si>
  <si>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</si>
  <si>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</si>
  <si>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</si>
  <si>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</si>
  <si>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</si>
  <si>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</si>
  <si>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</si>
  <si>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</si>
  <si>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</si>
  <si>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</si>
  <si>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</si>
  <si>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</si>
  <si>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</si>
  <si>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</si>
  <si>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</si>
  <si>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</si>
  <si>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</si>
  <si>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</si>
  <si>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</si>
  <si>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</si>
  <si>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</si>
  <si>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</si>
  <si>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</si>
  <si>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</si>
  <si>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</si>
  <si>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</si>
  <si>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</si>
  <si>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</si>
  <si>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</si>
  <si>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</si>
  <si>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</si>
  <si>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</si>
  <si>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</si>
  <si>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</si>
  <si>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</si>
  <si>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</si>
  <si>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</si>
  <si>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</si>
  <si>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</si>
  <si>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</si>
  <si>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</si>
  <si>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</si>
  <si>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</si>
  <si>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</si>
  <si>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</si>
  <si>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</si>
  <si>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</si>
  <si>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</si>
  <si>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</si>
  <si>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</si>
  <si>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</si>
  <si>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</si>
  <si>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</si>
  <si>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</si>
  <si>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</si>
  <si>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</si>
  <si>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</si>
  <si>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</si>
  <si>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</si>
  <si>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</si>
  <si>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 xml:space="preserve">Sum of سعر البيع </t>
  </si>
  <si>
    <t>Row Labels</t>
  </si>
  <si>
    <t>Grand Total</t>
  </si>
  <si>
    <t>Sales by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</si>
</sst>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right"/>
    </xf>
    <xf numFmtId="1" fontId="0" fillId="0" borderId="7" xfId="0" applyNumberForma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3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[Platform_Analysis.xlsx]Pivot_Tables!PivotTable10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Pivot_Tables!$A$5:$A$13</c:f>
              <c:strCache>
                <c:ptCount val="8"/>
                <c:pt idx="0">
                  <c:v>هومزمارت</c:v>
                </c:pt>
                <c:pt idx="1">
                  <c:v>شيك هومز </c:v>
                </c:pt>
                <c:pt idx="2">
                  <c:v>تاكى</c:v>
                </c:pt>
                <c:pt idx="3">
                  <c:v>اوسكار راتن </c:v>
                </c:pt>
                <c:pt idx="4">
                  <c:v>السويس</c:v>
                </c:pt>
                <c:pt idx="5">
                  <c:v>فيسبوك</c:v>
                </c:pt>
                <c:pt idx="6">
                  <c:v>منزلى </c:v>
                </c:pt>
                <c:pt idx="7">
                  <c:v>كيمت </c:v>
                </c:pt>
              </c:strCache>
            </c:strRef>
          </c:cat>
          <c:val>
            <c:numRef>
              <c:f>Pivot_Tables!$B$5:$B$13</c:f>
              <c:numCache>
                <c:formatCode>General</c:formatCode>
                <c:ptCount val="8"/>
                <c:pt idx="0">
                  <c:v>869639</c:v>
                </c:pt>
                <c:pt idx="1">
                  <c:v>181962.5</c:v>
                </c:pt>
                <c:pt idx="2">
                  <c:v>70650</c:v>
                </c:pt>
                <c:pt idx="3">
                  <c:v>58031.91</c:v>
                </c:pt>
                <c:pt idx="4">
                  <c:v>29708</c:v>
                </c:pt>
                <c:pt idx="5">
                  <c:v>27250</c:v>
                </c:pt>
                <c:pt idx="6">
                  <c:v>9655</c:v>
                </c:pt>
                <c:pt idx="7">
                  <c:v>7396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4-4B03-AFCD-47AE91299A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866288"/>
        <c:axId val="97866768"/>
      </c:barChart>
      <c:catAx>
        <c:axId val="9786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6768"/>
        <c:crosses val="autoZero"/>
        <c:auto val="1"/>
        <c:lblAlgn val="ctr"/>
        <c:lblOffset val="100"/>
        <c:noMultiLvlLbl val="0"/>
      </c:catAx>
      <c:valAx>
        <c:axId val="978667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786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281E7-4BA3-4B0A-AD37-93D59B9BC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024996527776" createdVersion="8" refreshedVersion="8" minRefreshableVersion="3" recordCount="120" xr:uid="{763E217F-4CD4-4D6E-9293-2907E7449D93}">
  <cacheSource type="worksheet">
    <worksheetSource name="MISUO"/>
  </cacheSource>
  <cacheFields count="24">
    <cacheField name="أسم العميل" numFmtId="0">
      <sharedItems/>
    </cacheField>
    <cacheField name="نوع العميل" numFmtId="0">
      <sharedItems/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 count="12">
        <s v="هومزمارت"/>
        <s v="شيك هومز "/>
        <s v="فيسبوك"/>
        <s v="تاكى"/>
        <s v="اوسكار راتن "/>
        <s v="السويس"/>
        <s v="منزلى "/>
        <s v="كيمت "/>
        <s v="تاكى " u="1"/>
        <s v="شيك هومز" u="1"/>
        <s v="هومزمارت " u="1"/>
        <s v="منزلى" u="1"/>
      </sharedItems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 count="7">
        <s v="سرير"/>
        <s v="ترابيزة"/>
        <s v="كنبة"/>
        <s v="ركنة"/>
        <s v="فوتية"/>
        <s v="شيزلونج"/>
        <s v="سرير " u="1"/>
      </sharedItems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 count="11">
        <s v="ابيض"/>
        <s v="اسود"/>
        <m/>
        <s v="رمادي"/>
        <s v="ازرق"/>
        <s v="دهبي"/>
        <s v="بنفسجى"/>
        <s v="اسود وبنى"/>
        <s v="نبيتى "/>
        <s v="وردي"/>
        <s v="اسود " u="1"/>
      </sharedItems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/>
    </cacheField>
    <cacheField name="حالة الالتزام" numFmtId="0">
      <sharedItems/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s v="الشروق"/>
    <s v="القاهرة"/>
    <x v="0"/>
    <n v="1"/>
    <x v="0"/>
    <s v="ثلاثة أدوار"/>
    <s v="كيفنج"/>
    <n v="80"/>
    <x v="0"/>
    <n v="16599"/>
    <s v="مسبق الدفع"/>
    <d v="2024-09-13T00:00:00"/>
    <d v="2024-09-30T00:00:00"/>
    <d v="2024-10-03T00:00:00"/>
    <n v="17"/>
    <n v="20"/>
    <n v="3"/>
    <s v="مقبولة"/>
    <s v="متأخر"/>
    <s v="محمود على "/>
    <s v="داخلي"/>
    <s v="تم التسليم"/>
  </r>
  <r>
    <s v="طارق كمال "/>
    <s v="أفراد"/>
    <s v="المعادى"/>
    <s v="القاهرة"/>
    <x v="0"/>
    <n v="1"/>
    <x v="0"/>
    <s v="ثلاثة أدوار"/>
    <s v="كيفنج"/>
    <n v="90"/>
    <x v="1"/>
    <n v="17249"/>
    <s v="مسبق الدفع"/>
    <d v="2024-09-13T00:00:00"/>
    <d v="2024-09-30T00:00:00"/>
    <d v="2024-10-04T00:00:00"/>
    <n v="17"/>
    <n v="21"/>
    <n v="4"/>
    <s v="سيئة"/>
    <s v="متأخر"/>
    <s v="محمود على "/>
    <s v="داخلي"/>
    <s v="تم التسليم"/>
  </r>
  <r>
    <s v="عبد الله سيد "/>
    <s v="أفراد"/>
    <s v="الشيخ زايد"/>
    <s v="الجيزة"/>
    <x v="0"/>
    <n v="1"/>
    <x v="0"/>
    <s v="فردي"/>
    <s v="اسباني"/>
    <n v="140"/>
    <x v="1"/>
    <n v="11817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ساندرا"/>
    <s v="أفراد"/>
    <s v="غير محدد"/>
    <s v="الغردقة"/>
    <x v="0"/>
    <n v="1"/>
    <x v="1"/>
    <s v="قهوة"/>
    <m/>
    <m/>
    <x v="2"/>
    <n v="8642"/>
    <s v="مسبق الدفع"/>
    <d v="2024-08-25T00:00:00"/>
    <d v="2024-09-07T00:00:00"/>
    <d v="2024-08-27T00:00:00"/>
    <n v="13"/>
    <n v="2"/>
    <n v="-11"/>
    <s v="ممتازة"/>
    <s v="مبكر"/>
    <s v="شركة الشحن"/>
    <s v="خارجي"/>
    <s v="تم التسليم"/>
  </r>
  <r>
    <s v="اسراء ابو العنين "/>
    <s v="أفراد"/>
    <s v="القاهرة الجديدة"/>
    <s v="القاهرة"/>
    <x v="0"/>
    <n v="1"/>
    <x v="0"/>
    <s v="فردي"/>
    <s v="اسباني"/>
    <n v="120"/>
    <x v="1"/>
    <n v="7460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شيك هومز "/>
    <s v="شركات"/>
    <s v="غير محدد"/>
    <s v="غير محدد"/>
    <x v="1"/>
    <n v="1"/>
    <x v="2"/>
    <s v="سرير"/>
    <m/>
    <m/>
    <x v="3"/>
    <n v="14550"/>
    <s v="مسبق الدفع"/>
    <d v="2024-08-14T00:00:00"/>
    <d v="2024-09-03T00:00:00"/>
    <d v="2024-09-05T00:00:00"/>
    <n v="20"/>
    <n v="22"/>
    <n v="2"/>
    <s v="مقبولة"/>
    <s v="متأخر"/>
    <s v="شركة الشحن"/>
    <s v="خارجي"/>
    <s v="تم التسليم"/>
  </r>
  <r>
    <s v="احمد "/>
    <s v="أفراد"/>
    <s v="غير محدد"/>
    <s v="غير محدد"/>
    <x v="2"/>
    <n v="1"/>
    <x v="2"/>
    <s v="سرير"/>
    <m/>
    <m/>
    <x v="3"/>
    <n v="12000"/>
    <s v="كاش"/>
    <d v="2024-08-17T00:00:00"/>
    <d v="2024-08-20T00:00:00"/>
    <d v="2024-08-19T00:00:00"/>
    <n v="3"/>
    <n v="2"/>
    <n v="-1"/>
    <s v="ممتازة"/>
    <s v="مبكر"/>
    <s v="شركة الشحن"/>
    <s v="خارجي"/>
    <s v="تم التسليم"/>
  </r>
  <r>
    <s v="مها "/>
    <s v="أفراد"/>
    <s v="العين السخنة"/>
    <s v="السويس"/>
    <x v="0"/>
    <n v="1"/>
    <x v="0"/>
    <s v="دورين"/>
    <s v="كيفنج"/>
    <n v="140"/>
    <x v="4"/>
    <n v="13099"/>
    <s v="مسبق الدفع"/>
    <d v="2024-09-13T00:00:00"/>
    <d v="2024-09-30T00:00:00"/>
    <d v="2024-10-03T00:00:00"/>
    <n v="17"/>
    <n v="20"/>
    <n v="3"/>
    <s v="مقبولة"/>
    <s v="متأخر"/>
    <s v="شركة الشحن"/>
    <s v="خارجي"/>
    <s v="تم التسليم"/>
  </r>
  <r>
    <s v="تاكى "/>
    <s v="شركات"/>
    <s v="العباسية"/>
    <s v="القاهرة"/>
    <x v="3"/>
    <n v="1"/>
    <x v="3"/>
    <s v="سرير"/>
    <m/>
    <m/>
    <x v="2"/>
    <n v="22000"/>
    <s v="كاش"/>
    <d v="2024-08-19T00:00:00"/>
    <d v="2024-09-01T00:00:00"/>
    <d v="2024-09-17T00:00:00"/>
    <n v="13"/>
    <n v="29"/>
    <n v="16"/>
    <s v="سيئة"/>
    <s v="متأخر"/>
    <s v="غير معروف"/>
    <s v="غير معروف"/>
    <s v="تم التسليم"/>
  </r>
  <r>
    <s v="تاكى "/>
    <s v="شركات"/>
    <s v="العباسية"/>
    <s v="القاهرة"/>
    <x v="3"/>
    <n v="2"/>
    <x v="2"/>
    <s v="سحارة"/>
    <m/>
    <m/>
    <x v="2"/>
    <n v="16000"/>
    <s v="كاش"/>
    <m/>
    <m/>
    <m/>
    <s v=""/>
    <s v=""/>
    <s v=""/>
    <s v="سيئة"/>
    <s v="متأخر"/>
    <s v="فشل التسليم "/>
    <s v="داخلي"/>
    <s v="فشل التسليم"/>
  </r>
  <r>
    <s v="تاكى "/>
    <s v="شركات"/>
    <s v="العباسية"/>
    <s v="القاهرة"/>
    <x v="3"/>
    <n v="2"/>
    <x v="2"/>
    <s v="سحارة"/>
    <m/>
    <m/>
    <x v="2"/>
    <n v="6000"/>
    <s v="كاش"/>
    <d v="2024-08-25T00:00:00"/>
    <d v="2024-09-15T00:00:00"/>
    <d v="2024-09-17T00:00:00"/>
    <n v="21"/>
    <n v="23"/>
    <n v="2"/>
    <s v="مقبولة"/>
    <s v="متأخر"/>
    <s v="محمود على "/>
    <s v="داخلي"/>
    <s v="تم التسليم"/>
  </r>
  <r>
    <s v="عبير نور الدين"/>
    <s v="أفراد"/>
    <s v="بولاق الدكرور"/>
    <s v="الجيزة"/>
    <x v="2"/>
    <n v="1"/>
    <x v="0"/>
    <s v="ثلاثة أدوار"/>
    <m/>
    <n v="100"/>
    <x v="2"/>
    <n v="9450"/>
    <s v="كاش"/>
    <d v="2024-09-12T00:00:00"/>
    <d v="2024-09-26T00:00:00"/>
    <m/>
    <n v="14"/>
    <s v=""/>
    <s v=""/>
    <s v="سيئة"/>
    <s v="متأخر"/>
    <s v="فشل التسليم"/>
    <s v="داخلي"/>
    <s v="فشل التسليم"/>
  </r>
  <r>
    <s v="سعيد"/>
    <s v="أفراد"/>
    <s v="سيدى عبد الرحمن"/>
    <s v="الساحل الشمالى"/>
    <x v="0"/>
    <n v="1"/>
    <x v="0"/>
    <s v="دورين"/>
    <s v="كيفنج"/>
    <n v="90"/>
    <x v="2"/>
    <n v="11455"/>
    <s v="كاش"/>
    <d v="2024-07-27T00:00:00"/>
    <m/>
    <m/>
    <s v=""/>
    <s v=""/>
    <s v=""/>
    <s v="سيئة"/>
    <s v="متأخر"/>
    <s v="فشل التسليم "/>
    <s v="داخلي"/>
    <s v="فشل التسليم"/>
  </r>
  <r>
    <s v="لينا "/>
    <s v="أفراد"/>
    <s v="المقطم "/>
    <s v="القاهرة"/>
    <x v="0"/>
    <n v="1"/>
    <x v="1"/>
    <s v="قهوة"/>
    <m/>
    <m/>
    <x v="2"/>
    <n v="7849"/>
    <s v="مسبق الدفع"/>
    <d v="2024-09-04T00:00:00"/>
    <d v="2024-09-16T00:00:00"/>
    <d v="2024-09-25T00:00:00"/>
    <n v="12"/>
    <n v="21"/>
    <n v="9"/>
    <s v="سيئة"/>
    <s v="متأخر"/>
    <s v="شركة الشحن"/>
    <s v="خارجي"/>
    <s v="مرتجع"/>
  </r>
  <r>
    <s v="فيصل نعيم "/>
    <s v="أفراد"/>
    <s v="التجمع الخامس "/>
    <s v="القاهرة"/>
    <x v="4"/>
    <n v="2"/>
    <x v="0"/>
    <s v="دورين"/>
    <s v="كيفنج"/>
    <n v="120"/>
    <x v="1"/>
    <n v="9700"/>
    <s v="كاش"/>
    <d v="2024-09-03T00:00:00"/>
    <d v="2024-09-16T00:00:00"/>
    <d v="2024-09-15T00:00:00"/>
    <n v="13"/>
    <n v="12"/>
    <n v="-1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2"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تاكى"/>
    <s v="شركات"/>
    <s v="العباسية"/>
    <s v="القاهرة"/>
    <x v="3"/>
    <n v="2"/>
    <x v="4"/>
    <m/>
    <s v="فنيسيا"/>
    <m/>
    <x v="2"/>
    <n v="9300"/>
    <s v="كاش"/>
    <d v="2024-09-04T00:00:00"/>
    <d v="2024-09-15T00:00:00"/>
    <d v="2024-09-17T00:00:00"/>
    <n v="11"/>
    <n v="13"/>
    <n v="2"/>
    <s v="مقبول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s v="القاهرة الجديدة"/>
    <s v="القاهرة"/>
    <x v="0"/>
    <n v="4"/>
    <x v="0"/>
    <s v="فردي"/>
    <s v="فورجينا"/>
    <n v="80"/>
    <x v="0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صفاء"/>
    <s v="أفراد"/>
    <s v="المعادى"/>
    <s v="القاهرة"/>
    <x v="0"/>
    <n v="1"/>
    <x v="1"/>
    <s v="قهوة"/>
    <m/>
    <m/>
    <x v="2"/>
    <n v="8849"/>
    <s v="مسبق الدفع"/>
    <d v="2024-09-03T00:00:00"/>
    <d v="2024-10-16T00:00:00"/>
    <m/>
    <n v="43"/>
    <s v=""/>
    <s v=""/>
    <s v="سيئة"/>
    <s v="متأخر"/>
    <s v="فشل التسليم"/>
    <s v="داخلي"/>
    <s v="فشل التسليم"/>
  </r>
  <r>
    <s v="ellho elkafy"/>
    <s v="شركات"/>
    <s v="مدينة نصر "/>
    <s v="القاهرة"/>
    <x v="0"/>
    <n v="1"/>
    <x v="0"/>
    <s v="دورين"/>
    <s v="كينج"/>
    <n v="80"/>
    <x v="2"/>
    <n v="11199"/>
    <s v="كاش"/>
    <d v="2024-09-04T00:00:00"/>
    <d v="2024-09-18T00:00:00"/>
    <m/>
    <n v="14"/>
    <s v=""/>
    <s v=""/>
    <s v="سيئة"/>
    <s v="متأخر"/>
    <s v="فشل التسليم"/>
    <s v="داخلي"/>
    <s v="فشل التسليم"/>
  </r>
  <r>
    <s v="شيك هومز "/>
    <s v="شركات"/>
    <s v="غير محدد"/>
    <s v="غير محدد"/>
    <x v="1"/>
    <n v="1"/>
    <x v="0"/>
    <s v="دورين"/>
    <s v="كينج"/>
    <n v="100"/>
    <x v="2"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زينا "/>
    <s v="أفراد"/>
    <s v="سيدى عبد الرحمن"/>
    <s v="الساحل الشمالى"/>
    <x v="0"/>
    <n v="1"/>
    <x v="0"/>
    <s v="دورين"/>
    <s v="نوفال"/>
    <n v="100"/>
    <x v="2"/>
    <n v="12833"/>
    <s v="كاش"/>
    <d v="2024-08-16T00:00:00"/>
    <d v="2024-08-31T00:00:00"/>
    <m/>
    <n v="15"/>
    <s v=""/>
    <s v=""/>
    <s v="سيئة"/>
    <s v="متأخر"/>
    <s v="فشل التسليم "/>
    <s v="داخلي"/>
    <s v="فشل التسليم"/>
  </r>
  <r>
    <s v="اوسكار راتن"/>
    <s v="شركات"/>
    <s v="القناطر الخيرية"/>
    <s v="القليوبية"/>
    <x v="4"/>
    <n v="2"/>
    <x v="0"/>
    <s v="فردي"/>
    <s v="فورجينا"/>
    <n v="120"/>
    <x v="0"/>
    <n v="4020"/>
    <s v="حساب شركه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اوسكار راتن"/>
    <s v="شركات"/>
    <s v="القناطر الخيرية"/>
    <s v="القليوبية"/>
    <x v="4"/>
    <n v="2"/>
    <x v="0"/>
    <s v="فردي"/>
    <s v="ارفيل"/>
    <n v="120"/>
    <x v="1"/>
    <n v="4020"/>
    <s v="مسبق الدفع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على رشوان "/>
    <s v="أفراد"/>
    <s v="مصر الجديدة"/>
    <s v="القاهرة"/>
    <x v="0"/>
    <n v="1"/>
    <x v="0"/>
    <s v="دورين"/>
    <s v="نوفال"/>
    <n v="80"/>
    <x v="2"/>
    <n v="10499"/>
    <s v="كاش"/>
    <d v="2024-09-01T00:00:00"/>
    <d v="2024-09-16T00:00:00"/>
    <d v="2024-09-08T00:00:00"/>
    <n v="15"/>
    <n v="7"/>
    <n v="-8"/>
    <s v="ممتازة"/>
    <s v="مبكر"/>
    <s v="شركة الشحن"/>
    <s v="خارجي"/>
    <s v="تم التسليم"/>
  </r>
  <r>
    <s v="يوسف شناوى"/>
    <s v="أفراد"/>
    <s v="الإبراهيمية"/>
    <s v="الإسكندرية"/>
    <x v="0"/>
    <n v="1"/>
    <x v="1"/>
    <s v="قهوة"/>
    <m/>
    <m/>
    <x v="2"/>
    <n v="8349"/>
    <s v="مسبق الدفع"/>
    <d v="2024-09-14T00:00:00"/>
    <d v="2024-09-22T00:00:00"/>
    <d v="2024-09-24T00:00:00"/>
    <n v="8"/>
    <n v="10"/>
    <n v="2"/>
    <s v="مقبولة"/>
    <s v="متأخر"/>
    <s v="شركة الشحن"/>
    <s v="خارجي"/>
    <s v="تم التسليم"/>
  </r>
  <r>
    <s v="yilmaz"/>
    <s v="أفراد"/>
    <s v="غير محدد"/>
    <s v="غير محدد"/>
    <x v="0"/>
    <n v="1"/>
    <x v="0"/>
    <s v="فردي"/>
    <m/>
    <m/>
    <x v="2"/>
    <n v="7228"/>
    <s v="مسبق الدفع"/>
    <d v="2024-08-25T00:00:00"/>
    <d v="2024-09-03T00:00:00"/>
    <d v="2024-09-10T00:00:00"/>
    <n v="9"/>
    <n v="16"/>
    <n v="7"/>
    <s v="سيئة"/>
    <s v="متأخر"/>
    <s v="شركة الشحن"/>
    <s v="خارجي"/>
    <s v="تم التسليم"/>
  </r>
  <r>
    <s v="رنا "/>
    <s v="أفراد"/>
    <s v="القطامية"/>
    <s v="القاهرة"/>
    <x v="0"/>
    <n v="1"/>
    <x v="1"/>
    <s v="قهوة"/>
    <m/>
    <m/>
    <x v="2"/>
    <n v="7928"/>
    <s v="كاش"/>
    <d v="2024-09-12T00:00:00"/>
    <d v="2024-09-26T00:00:00"/>
    <m/>
    <n v="14"/>
    <s v=""/>
    <s v=""/>
    <s v="سيئة"/>
    <s v="متأخر"/>
    <s v="شركة الشحن"/>
    <s v="خارجي"/>
    <s v="تم التسليم"/>
  </r>
  <r>
    <s v="حسن حازم"/>
    <s v="أفراد"/>
    <s v="٦ اكتوبر"/>
    <s v="الجيزة"/>
    <x v="0"/>
    <n v="1"/>
    <x v="0"/>
    <s v="فردي"/>
    <s v="اسباني"/>
    <n v="120"/>
    <x v="2"/>
    <n v="10987"/>
    <s v="مسبق الدفع"/>
    <d v="2024-09-09T00:00:00"/>
    <d v="2024-09-17T00:00:00"/>
    <d v="2024-09-21T00:00:00"/>
    <n v="8"/>
    <n v="12"/>
    <n v="4"/>
    <s v="سيئة"/>
    <s v="متأخر"/>
    <s v="محمود على "/>
    <s v="داخلي"/>
    <s v="تم التسليم"/>
  </r>
  <r>
    <s v="احمد فخرى "/>
    <s v="أفراد"/>
    <s v="٦ اكتوبر"/>
    <s v="الجيزة"/>
    <x v="0"/>
    <n v="1"/>
    <x v="0"/>
    <s v="فردي"/>
    <s v="نوفال"/>
    <n v="80"/>
    <x v="0"/>
    <n v="7295"/>
    <s v="كاش"/>
    <d v="2024-09-05T00:00:00"/>
    <d v="2024-09-14T00:00:00"/>
    <m/>
    <n v="9"/>
    <s v=""/>
    <s v=""/>
    <s v="سيئة"/>
    <s v="متأخر"/>
    <s v="فشل التسليم"/>
    <s v="داخلي"/>
    <s v="فشل التسليم"/>
  </r>
  <r>
    <s v="وائل صادق"/>
    <s v="أفراد"/>
    <s v="القاهرة الجديدة"/>
    <s v="القاهرة"/>
    <x v="0"/>
    <n v="1"/>
    <x v="0"/>
    <s v="فردي"/>
    <s v="كورين"/>
    <n v="140"/>
    <x v="5"/>
    <n v="9528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حسن مغرب "/>
    <s v="أفراد"/>
    <s v="٦ اكتوبر"/>
    <s v="الجيزة"/>
    <x v="0"/>
    <n v="1"/>
    <x v="0"/>
    <s v="دورين"/>
    <s v="كيفنج"/>
    <n v="120"/>
    <x v="3"/>
    <n v="12999"/>
    <s v="مسبق الدفع"/>
    <d v="2024-09-14T00:00:00"/>
    <d v="2024-09-27T00:00:00"/>
    <d v="2024-10-02T00:00:00"/>
    <n v="13"/>
    <n v="18"/>
    <n v="5"/>
    <s v="سيئة"/>
    <s v="متأخر"/>
    <s v="محمود على "/>
    <s v="داخلي"/>
    <s v="تم التسليم"/>
  </r>
  <r>
    <s v="مصطفي غنيم "/>
    <s v="أفراد"/>
    <s v="غير محدد"/>
    <s v="اسيوط "/>
    <x v="0"/>
    <n v="1"/>
    <x v="0"/>
    <s v="دورين"/>
    <s v="كيفنج"/>
    <n v="120"/>
    <x v="3"/>
    <n v="12999"/>
    <s v="مسبق الدفع"/>
    <d v="2024-09-14T00:00:00"/>
    <d v="2024-11-20T00:00:00"/>
    <d v="2024-10-17T00:00:00"/>
    <n v="67"/>
    <n v="33"/>
    <n v="-34"/>
    <s v="ممتازة"/>
    <s v="مبكر"/>
    <s v="شركة الشحن"/>
    <s v="خارجي"/>
    <s v="تم التسليم"/>
  </r>
  <r>
    <s v="هشام بسيونى "/>
    <s v="أفراد"/>
    <s v="حدائق الأهرام"/>
    <s v="الجيزة"/>
    <x v="0"/>
    <n v="2"/>
    <x v="0"/>
    <s v="دورين"/>
    <s v="كيفنج"/>
    <n v="100"/>
    <x v="1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هشام بسيونى "/>
    <s v="أفراد"/>
    <s v="حدائق الأهرام"/>
    <s v="الجيزة"/>
    <x v="0"/>
    <n v="2"/>
    <x v="0"/>
    <s v="دورين"/>
    <s v="كيفنج"/>
    <n v="100"/>
    <x v="1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ساره وجيه "/>
    <s v="أفراد"/>
    <s v="غير محدد"/>
    <s v="الغردقة"/>
    <x v="0"/>
    <n v="1"/>
    <x v="0"/>
    <s v="دورين"/>
    <s v="كيفنج"/>
    <n v="80"/>
    <x v="0"/>
    <n v="10999"/>
    <s v="مسبق الدفع"/>
    <d v="2024-09-13T00:00:00"/>
    <d v="2024-09-30T00:00:00"/>
    <d v="2024-10-16T00:00:00"/>
    <n v="17"/>
    <n v="33"/>
    <n v="16"/>
    <s v="سيئة"/>
    <s v="متأخر"/>
    <s v="شركة الشحن"/>
    <s v="خارجي"/>
    <s v="تم التسليم"/>
  </r>
  <r>
    <s v="اسراء ابراهيم "/>
    <s v="أفراد"/>
    <s v="٦ اكتوبر"/>
    <s v="الجيزة"/>
    <x v="0"/>
    <n v="1"/>
    <x v="0"/>
    <s v="دورين"/>
    <s v="كيفنج"/>
    <n v="80"/>
    <x v="0"/>
    <n v="10999"/>
    <s v="مسبق الدفع"/>
    <d v="2024-09-13T00:00:00"/>
    <d v="2024-09-30T00:00:00"/>
    <d v="2024-10-15T00:00:00"/>
    <n v="17"/>
    <n v="32"/>
    <n v="15"/>
    <s v="سيئة"/>
    <s v="متأخر"/>
    <s v="محمود على "/>
    <s v="داخلي"/>
    <s v="تم التسليم"/>
  </r>
  <r>
    <s v="بسام الشربينى "/>
    <s v="أفراد"/>
    <s v="٦ اكتوبر"/>
    <s v="الجيزة"/>
    <x v="0"/>
    <n v="1"/>
    <x v="0"/>
    <s v="دورين"/>
    <s v="كينج"/>
    <n v="120"/>
    <x v="6"/>
    <n v="13849"/>
    <s v="مسبق الدفع"/>
    <d v="2024-09-13T00:00:00"/>
    <d v="2024-09-30T00:00:00"/>
    <d v="2024-10-20T00:00:00"/>
    <n v="17"/>
    <n v="37"/>
    <n v="20"/>
    <s v="سيئة"/>
    <s v="متأخر"/>
    <s v="محمود على "/>
    <s v="داخلي"/>
    <s v="تم التسليم"/>
  </r>
  <r>
    <s v="صفاء الحكيم"/>
    <s v="أفراد"/>
    <s v="العين السخنة"/>
    <s v="السويس"/>
    <x v="0"/>
    <n v="1"/>
    <x v="0"/>
    <s v="منطبق"/>
    <m/>
    <m/>
    <x v="1"/>
    <n v="9399"/>
    <s v="مسبق الدفع"/>
    <d v="2024-09-14T00:00:00"/>
    <d v="2024-09-22T00:00:00"/>
    <m/>
    <n v="8"/>
    <s v=""/>
    <s v=""/>
    <s v="سيئة"/>
    <s v="متأخر"/>
    <s v="فشل التسليم "/>
    <s v="داخلي"/>
    <s v="فشل التسليم"/>
  </r>
  <r>
    <s v="هبه عبد الفتاح "/>
    <s v="أفراد"/>
    <s v="القاهرة الجديدة"/>
    <s v="القاهرة"/>
    <x v="0"/>
    <n v="1"/>
    <x v="2"/>
    <s v="سرير"/>
    <m/>
    <m/>
    <x v="1"/>
    <n v="21999"/>
    <s v="مسبق الدفع"/>
    <d v="2024-09-13T00:00:00"/>
    <d v="2024-09-30T00:00:00"/>
    <m/>
    <n v="17"/>
    <s v=""/>
    <s v=""/>
    <s v="سيئة"/>
    <s v="متأخر"/>
    <s v="محمود على "/>
    <s v="داخلي"/>
    <s v="تم التسليم"/>
  </r>
  <r>
    <s v="حاتم العيسوي "/>
    <s v="أفراد"/>
    <s v="٦ اكتوبر"/>
    <s v="الجيزة"/>
    <x v="0"/>
    <n v="1"/>
    <x v="0"/>
    <s v="منطبق"/>
    <m/>
    <m/>
    <x v="1"/>
    <n v="9399"/>
    <s v="مسبق الدفع"/>
    <d v="2024-09-13T00:00:00"/>
    <d v="2024-09-24T00:00:00"/>
    <d v="2024-09-30T00:00:00"/>
    <n v="11"/>
    <n v="17"/>
    <n v="6"/>
    <s v="سيئة"/>
    <s v="متأخر"/>
    <s v="شركة الشحن"/>
    <s v="خارجي"/>
    <s v="تم التسليم"/>
  </r>
  <r>
    <s v="ميار خورشد"/>
    <s v="أفراد"/>
    <s v="٦ اكتوبر"/>
    <s v="الجيزة"/>
    <x v="0"/>
    <n v="1"/>
    <x v="0"/>
    <s v="منطبق"/>
    <m/>
    <m/>
    <x v="1"/>
    <n v="9399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ديفد بهجت "/>
    <s v="أفراد"/>
    <s v="فيصل"/>
    <s v="الجيزة"/>
    <x v="0"/>
    <n v="1"/>
    <x v="1"/>
    <s v="قهوة"/>
    <m/>
    <m/>
    <x v="2"/>
    <n v="8349"/>
    <s v="مسبق الدفع"/>
    <d v="2024-09-14T00:00:00"/>
    <d v="2024-10-16T00:00:00"/>
    <d v="2024-10-21T00:00:00"/>
    <n v="32"/>
    <n v="37"/>
    <n v="5"/>
    <s v="سيئة"/>
    <s v="متأخر"/>
    <s v="محمود على "/>
    <s v="داخلي"/>
    <s v="تم التسليم"/>
  </r>
  <r>
    <s v="اياد "/>
    <s v="أفراد"/>
    <s v="المقطم "/>
    <s v="القاهرة"/>
    <x v="0"/>
    <n v="1"/>
    <x v="1"/>
    <s v="قهوة"/>
    <m/>
    <m/>
    <x v="2"/>
    <n v="7849"/>
    <s v="مسبق الدفع"/>
    <d v="2024-09-14T00:00:00"/>
    <d v="2024-10-29T00:00:00"/>
    <d v="2024-10-30T00:00:00"/>
    <n v="45"/>
    <n v="46"/>
    <n v="1"/>
    <s v="مقبولة"/>
    <s v="متأخر"/>
    <s v="محمود على "/>
    <s v="داخلي"/>
    <s v="تم التسليم"/>
  </r>
  <r>
    <s v="محمود"/>
    <s v="أفراد"/>
    <s v="سموحة"/>
    <s v="الإسكندرية"/>
    <x v="0"/>
    <n v="1"/>
    <x v="0"/>
    <s v="منطبق"/>
    <m/>
    <m/>
    <x v="1"/>
    <n v="10160"/>
    <s v="كاش"/>
    <d v="2024-07-28T00:00:00"/>
    <m/>
    <d v="2024-08-11T00:00:00"/>
    <s v=""/>
    <n v="14"/>
    <s v=""/>
    <s v="سيئة"/>
    <s v="متأخر"/>
    <s v="شركة الشحن"/>
    <s v="خارجي"/>
    <s v="تم التسليم"/>
  </r>
  <r>
    <s v="خالد عبد القوى "/>
    <s v="أفراد"/>
    <s v="العجوزة"/>
    <s v="الجيزة"/>
    <x v="0"/>
    <n v="1"/>
    <x v="0"/>
    <s v="منطبق"/>
    <m/>
    <m/>
    <x v="0"/>
    <n v="10160"/>
    <s v="مسبق الدفع"/>
    <d v="2024-07-27T00:00:00"/>
    <m/>
    <d v="2024-08-10T00:00:00"/>
    <s v=""/>
    <n v="14"/>
    <s v=""/>
    <s v="سيئة"/>
    <s v="متأخر"/>
    <s v="شركة الشحن"/>
    <s v="خارجي"/>
    <s v="تم التسليم"/>
  </r>
  <r>
    <s v="كينج سونا "/>
    <s v="شركات"/>
    <s v="الشروق"/>
    <s v="القاهرة"/>
    <x v="0"/>
    <n v="1"/>
    <x v="1"/>
    <s v="قهوة"/>
    <m/>
    <m/>
    <x v="2"/>
    <n v="834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احمد خالد "/>
    <s v="أفراد"/>
    <s v="الرحاب"/>
    <s v="القاهرة"/>
    <x v="0"/>
    <n v="2"/>
    <x v="0"/>
    <s v="فردى"/>
    <s v="فورجينا"/>
    <n v="120"/>
    <x v="0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احمد خالد "/>
    <s v="أفراد"/>
    <s v="الرحاب"/>
    <s v="القاهرة"/>
    <x v="0"/>
    <n v="2"/>
    <x v="0"/>
    <s v="فردى"/>
    <s v="فورجينا"/>
    <n v="120"/>
    <x v="0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ساره"/>
    <s v="أفراد"/>
    <s v="القاهرة الجديدة"/>
    <s v="القاهرة"/>
    <x v="0"/>
    <n v="2"/>
    <x v="0"/>
    <s v="فردي"/>
    <s v="اسباني"/>
    <n v="120"/>
    <x v="0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ساره"/>
    <s v="أفراد"/>
    <s v="القاهرة الجديدة"/>
    <s v="القاهرة"/>
    <x v="0"/>
    <n v="2"/>
    <x v="0"/>
    <s v="فردي"/>
    <s v="اسباني"/>
    <n v="120"/>
    <x v="0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احمد ايمن "/>
    <s v="أفراد"/>
    <s v="العبور"/>
    <s v="القليوبية"/>
    <x v="0"/>
    <n v="1"/>
    <x v="1"/>
    <s v="قهوة"/>
    <m/>
    <m/>
    <x v="2"/>
    <n v="1031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على السيد "/>
    <s v="أفراد"/>
    <s v="الشروق"/>
    <s v="القاهرة"/>
    <x v="0"/>
    <n v="1"/>
    <x v="0"/>
    <s v="دورين"/>
    <s v="نوفال"/>
    <n v="90"/>
    <x v="1"/>
    <n v="5999"/>
    <s v="مسبق الدفع"/>
    <d v="2024-09-12T00:00:00"/>
    <d v="2024-09-29T00:00:00"/>
    <m/>
    <n v="17"/>
    <s v=""/>
    <s v=""/>
    <s v="سيئة"/>
    <s v="متأخر"/>
    <s v="غير معروف"/>
    <s v="غير معروف"/>
    <s v="تم التسليم"/>
  </r>
  <r>
    <s v="حسام عبدون"/>
    <s v="أفراد"/>
    <s v="غير محدد"/>
    <s v="الغردقة"/>
    <x v="0"/>
    <n v="1"/>
    <x v="2"/>
    <s v="سرير"/>
    <m/>
    <m/>
    <x v="1"/>
    <n v="21999"/>
    <s v="مسبق الدفع"/>
    <d v="2024-09-14T00:00:00"/>
    <d v="2024-11-20T00:00:00"/>
    <m/>
    <n v="67"/>
    <s v=""/>
    <s v=""/>
    <s v="سيئة"/>
    <s v="متأخر"/>
    <s v="فشل التسليم"/>
    <s v="داخلي"/>
    <s v="فشل التسليم"/>
  </r>
  <r>
    <s v="رامى "/>
    <s v="أفراد"/>
    <s v="الشروق"/>
    <s v="القاهرة"/>
    <x v="0"/>
    <n v="1"/>
    <x v="0"/>
    <s v="دورين"/>
    <s v="نوفال"/>
    <n v="100"/>
    <x v="3"/>
    <n v="12399"/>
    <s v="مسبق الدفع"/>
    <d v="2024-09-14T00:00:00"/>
    <d v="2024-11-20T00:00:00"/>
    <d v="2024-10-01T00:00:00"/>
    <n v="67"/>
    <n v="17"/>
    <n v="-50"/>
    <s v="ممتازة"/>
    <s v="مبكر"/>
    <s v="شركة الشحن"/>
    <s v="خارجي"/>
    <s v="تم التسليم"/>
  </r>
  <r>
    <s v="رحاب"/>
    <s v="أفراد"/>
    <s v="القاهرة الجديدة"/>
    <s v="القاهرة"/>
    <x v="0"/>
    <n v="1"/>
    <x v="2"/>
    <s v="سرير"/>
    <m/>
    <m/>
    <x v="1"/>
    <n v="21999"/>
    <s v="مسبق الدفع"/>
    <d v="2024-09-14T00:00:00"/>
    <d v="2024-11-20T00:00:00"/>
    <d v="2024-10-09T00:00:00"/>
    <n v="67"/>
    <n v="25"/>
    <n v="-42"/>
    <s v="ممتازة"/>
    <s v="مبكر"/>
    <s v="محمود على "/>
    <s v="داخلي"/>
    <s v="تم التسليم"/>
  </r>
  <r>
    <s v="فؤاد المنسي "/>
    <s v="أفراد"/>
    <s v="المقطم "/>
    <s v="القاهرة"/>
    <x v="0"/>
    <n v="1"/>
    <x v="0"/>
    <s v="دورين"/>
    <s v="نوفال"/>
    <n v="80"/>
    <x v="0"/>
    <n v="10999"/>
    <s v="مسبق الدفع"/>
    <d v="2024-09-14T00:00:00"/>
    <d v="2024-11-20T00:00:00"/>
    <d v="2024-10-16T00:00:00"/>
    <n v="67"/>
    <n v="32"/>
    <n v="-35"/>
    <s v="ممتازة"/>
    <s v="مبكر"/>
    <s v="محمود على "/>
    <s v="داخلي"/>
    <s v="تم التسليم"/>
  </r>
  <r>
    <s v="mohannad"/>
    <s v="أفراد"/>
    <s v="المعادى"/>
    <s v="القاهرة"/>
    <x v="0"/>
    <n v="1"/>
    <x v="0"/>
    <s v="دورين"/>
    <s v="كيفنج"/>
    <n v="80"/>
    <x v="0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nnad"/>
    <s v="أفراد"/>
    <s v="المعادى"/>
    <s v="القاهرة"/>
    <x v="0"/>
    <n v="1"/>
    <x v="0"/>
    <s v="دورين"/>
    <s v="كيفنج"/>
    <n v="80"/>
    <x v="0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med Ayman"/>
    <s v="أفراد"/>
    <s v="مدينة بدر"/>
    <s v="القاهرة"/>
    <x v="0"/>
    <n v="1"/>
    <x v="2"/>
    <s v="4*1"/>
    <m/>
    <m/>
    <x v="1"/>
    <n v="21999"/>
    <s v="مسبق الدفع"/>
    <d v="2024-09-15T00:00:00"/>
    <d v="2024-11-20T00:00:00"/>
    <d v="2024-10-19T00:00:00"/>
    <n v="66"/>
    <n v="34"/>
    <n v="-32"/>
    <s v="ممتازة"/>
    <s v="مبكر"/>
    <s v="محمود على "/>
    <s v="داخلي"/>
    <s v="تم التسليم"/>
  </r>
  <r>
    <s v="اسامه"/>
    <s v="أفراد"/>
    <s v="العين السخنة"/>
    <s v="السويس"/>
    <x v="0"/>
    <n v="1"/>
    <x v="1"/>
    <s v="دورين"/>
    <m/>
    <m/>
    <x v="2"/>
    <n v="7849"/>
    <s v="كاش"/>
    <d v="2024-09-16T00:00:00"/>
    <d v="2024-10-30T00:00:00"/>
    <d v="2024-11-14T00:00:00"/>
    <n v="44"/>
    <n v="59"/>
    <n v="15"/>
    <s v="سيئة"/>
    <s v="متأخر"/>
    <s v="شركة الشحن"/>
    <s v="خارجي"/>
    <s v="تم التسليم"/>
  </r>
  <r>
    <s v="اوسكار راتن"/>
    <s v="شركات"/>
    <s v="أبو رواش"/>
    <s v="الجيزة"/>
    <x v="4"/>
    <n v="1"/>
    <x v="0"/>
    <s v="دورين"/>
    <s v="كيفنج"/>
    <n v="80"/>
    <x v="0"/>
    <n v="5074"/>
    <s v="حساب شركه"/>
    <d v="2024-09-21T00:00:00"/>
    <d v="2024-10-05T00:00:00"/>
    <d v="2024-10-12T00:00:00"/>
    <n v="14"/>
    <n v="21"/>
    <n v="7"/>
    <s v="سيئة"/>
    <s v="متأخر"/>
    <s v="محمود على "/>
    <s v="داخلي"/>
    <s v="تم التسليم"/>
  </r>
  <r>
    <s v="تاكى "/>
    <s v="شركات"/>
    <s v="العباسية"/>
    <s v="القاهرة"/>
    <x v="3"/>
    <n v="1"/>
    <x v="0"/>
    <s v="دورين"/>
    <s v="كينج"/>
    <n v="100"/>
    <x v="7"/>
    <n v="6250"/>
    <s v="حساب شركه"/>
    <d v="2024-09-23T00:00:00"/>
    <d v="2024-10-08T00:00:00"/>
    <d v="2024-10-17T00:00:00"/>
    <n v="15"/>
    <n v="24"/>
    <n v="9"/>
    <s v="سيئة"/>
    <s v="متأخر"/>
    <s v="محمود على "/>
    <s v="داخلي"/>
    <s v="تم التسليم"/>
  </r>
  <r>
    <s v="ولاء بدوى"/>
    <s v="أفراد"/>
    <s v="العباسية"/>
    <s v="القاهرة"/>
    <x v="0"/>
    <n v="1"/>
    <x v="0"/>
    <s v="فردي"/>
    <s v="فورجينا"/>
    <n v="120"/>
    <x v="0"/>
    <n v="8943"/>
    <s v="كاش"/>
    <d v="2024-09-26T00:00:00"/>
    <d v="2024-11-10T00:00:00"/>
    <d v="2024-10-10T00:00:00"/>
    <n v="45"/>
    <n v="14"/>
    <n v="-31"/>
    <s v="ممتازة"/>
    <s v="مبكر"/>
    <s v="محمود على "/>
    <s v="داخلي"/>
    <s v="تم التسليم"/>
  </r>
  <r>
    <s v="عبد الرحمن يسري"/>
    <s v="أفراد"/>
    <s v="٦ اكتوبر"/>
    <s v="الجيزة"/>
    <x v="0"/>
    <n v="1"/>
    <x v="1"/>
    <s v="قهوة"/>
    <m/>
    <m/>
    <x v="2"/>
    <n v="8433"/>
    <s v="كاش"/>
    <d v="2024-09-26T00:00:00"/>
    <d v="2024-11-10T00:00:00"/>
    <m/>
    <n v="45"/>
    <s v=""/>
    <s v=""/>
    <s v="سيئة"/>
    <s v="متأخر"/>
    <s v="فشل التسليم"/>
    <s v="داخلي"/>
    <s v="فشل التسليم"/>
  </r>
  <r>
    <s v="شيك هومز "/>
    <s v="شركات"/>
    <s v="التجمع الخامس "/>
    <s v="القاهرة"/>
    <x v="1"/>
    <n v="1"/>
    <x v="2"/>
    <s v="4*1"/>
    <m/>
    <m/>
    <x v="8"/>
    <n v="14950"/>
    <s v="مسبق الدفع"/>
    <d v="2024-09-26T00:00:00"/>
    <d v="2024-10-14T00:00:00"/>
    <d v="2024-10-13T00:00:00"/>
    <n v="18"/>
    <n v="17"/>
    <n v="-1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1"/>
    <n v="9608"/>
    <s v="كاش"/>
    <d v="2024-09-26T00:00:00"/>
    <d v="2024-10-14T00:00:00"/>
    <m/>
    <n v="18"/>
    <s v=""/>
    <s v=""/>
    <s v="سيئة"/>
    <s v="متأخر"/>
    <s v="فشل التسليم"/>
    <s v="داخلي"/>
    <s v="فشل التسليم"/>
  </r>
  <r>
    <s v="شيك هومز "/>
    <s v="شركات"/>
    <s v="غير محدد"/>
    <s v="غير محدد"/>
    <x v="1"/>
    <n v="1"/>
    <x v="0"/>
    <s v="فردي"/>
    <s v="اسباني"/>
    <n v="120"/>
    <x v="0"/>
    <n v="7433"/>
    <s v="مسبق الدفع"/>
    <d v="2024-09-29T00:00:00"/>
    <d v="2024-10-20T00:00:00"/>
    <d v="2024-10-21T00:00:00"/>
    <n v="21"/>
    <n v="22"/>
    <n v="1"/>
    <s v="مقبولة"/>
    <s v="متأخر"/>
    <s v="محمود على "/>
    <s v="داخلي"/>
    <s v="تم التسليم"/>
  </r>
  <r>
    <s v="اوسكار راتن"/>
    <s v="شركات"/>
    <s v="أبو رواش"/>
    <s v="الجيزة"/>
    <x v="4"/>
    <n v="1"/>
    <x v="0"/>
    <s v="فردي"/>
    <s v="فورجينا"/>
    <n v="120"/>
    <x v="0"/>
    <n v="4020"/>
    <s v="حساب شركه"/>
    <d v="2024-09-29T00:00:00"/>
    <d v="2024-10-12T00:00:00"/>
    <d v="2024-10-12T00:00:00"/>
    <n v="13"/>
    <n v="13"/>
    <n v="0"/>
    <s v="مقبولة"/>
    <s v="في الموعد"/>
    <s v="محمود على "/>
    <s v="داخلي"/>
    <s v="تم التسليم"/>
  </r>
  <r>
    <s v="الحج محمد السويس"/>
    <s v="أفراد"/>
    <s v="غير محدد"/>
    <s v="السويس"/>
    <x v="5"/>
    <n v="1"/>
    <x v="0"/>
    <s v="دورين"/>
    <s v="فانتستيك"/>
    <n v="100"/>
    <x v="2"/>
    <n v="9608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0"/>
    <s v="منطبق"/>
    <m/>
    <m/>
    <x v="1"/>
    <n v="46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2"/>
    <m/>
    <s v="فنيسيا"/>
    <m/>
    <x v="1"/>
    <n v="100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s v="غير محدد"/>
    <s v="السويس"/>
    <x v="5"/>
    <n v="1"/>
    <x v="5"/>
    <m/>
    <m/>
    <m/>
    <x v="1"/>
    <n v="55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عمرو الأسود"/>
    <s v="أفراد"/>
    <s v="الزمالك"/>
    <s v="القاهرة"/>
    <x v="0"/>
    <n v="1"/>
    <x v="0"/>
    <s v="منطبق"/>
    <m/>
    <m/>
    <x v="1"/>
    <n v="8988"/>
    <s v="كاش"/>
    <d v="2024-10-03T00:00:00"/>
    <d v="2024-11-17T00:00:00"/>
    <m/>
    <n v="45"/>
    <s v=""/>
    <s v=""/>
    <s v="سيئة"/>
    <s v="متأخر"/>
    <s v="غير معروف"/>
    <s v="غير معروف"/>
    <s v="تم التسليم"/>
  </r>
  <r>
    <s v="شيك هومز "/>
    <s v="شركات"/>
    <s v="غير محدد"/>
    <s v="غير محدد"/>
    <x v="1"/>
    <n v="1"/>
    <x v="2"/>
    <s v="4*1"/>
    <m/>
    <m/>
    <x v="1"/>
    <n v="14550"/>
    <s v="مسبق الدفع"/>
    <d v="2024-10-08T00:00:00"/>
    <d v="2024-10-29T00:00:00"/>
    <d v="2024-10-30T00:00:00"/>
    <n v="21"/>
    <n v="22"/>
    <n v="1"/>
    <s v="مقبولة"/>
    <s v="متأخر"/>
    <s v="محمود على "/>
    <s v="داخلي"/>
    <s v="تم التسليم"/>
  </r>
  <r>
    <s v="شيك هومز "/>
    <s v="شركات"/>
    <s v="٦ اكتوبر"/>
    <s v="الجيزة"/>
    <x v="1"/>
    <n v="1"/>
    <x v="2"/>
    <s v="4*1"/>
    <m/>
    <m/>
    <x v="1"/>
    <n v="14550"/>
    <s v="مسبق الدفع"/>
    <d v="2024-10-07T00:00:00"/>
    <d v="2024-10-29T00:00:00"/>
    <d v="2024-10-15T00:00:00"/>
    <n v="22"/>
    <n v="8"/>
    <n v="-14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2"/>
    <s v="4*1"/>
    <m/>
    <m/>
    <x v="1"/>
    <n v="14550"/>
    <s v="كاش"/>
    <d v="2024-10-10T00:00:00"/>
    <d v="2024-10-31T00:00:00"/>
    <d v="2024-11-02T00:00:00"/>
    <n v="21"/>
    <n v="23"/>
    <n v="2"/>
    <s v="مقبولة"/>
    <s v="متأخر"/>
    <s v="محمود على "/>
    <s v="داخلي"/>
    <s v="تم التسليم"/>
  </r>
  <r>
    <s v="keira"/>
    <s v="أفراد"/>
    <s v="القاهرة الجديدة"/>
    <s v="القاهرة"/>
    <x v="0"/>
    <n v="1"/>
    <x v="0"/>
    <s v="دورين"/>
    <s v="نوفال "/>
    <s v="100*140"/>
    <x v="9"/>
    <n v="13028"/>
    <s v="كاش"/>
    <d v="2024-10-13T00:00:00"/>
    <d v="2024-12-17T00:00:00"/>
    <d v="2024-11-02T00:00:00"/>
    <n v="65"/>
    <n v="20"/>
    <n v="-45"/>
    <s v="ممتازة"/>
    <s v="مبكر"/>
    <s v="محمود على "/>
    <s v="داخلي"/>
    <s v="تم التسليم"/>
  </r>
  <r>
    <s v="tarek"/>
    <s v="أفراد"/>
    <s v="مصر الجديدة"/>
    <s v="القاهرة"/>
    <x v="0"/>
    <n v="1"/>
    <x v="0"/>
    <s v="دورين"/>
    <s v="كيفنج"/>
    <n v="80"/>
    <x v="0"/>
    <n v="10499"/>
    <s v="مسبق الدفع"/>
    <d v="2024-10-16T00:00:00"/>
    <d v="2024-12-19T00:00:00"/>
    <d v="2024-10-21T00:00:00"/>
    <n v="64"/>
    <n v="5"/>
    <n v="-59"/>
    <s v="ممتازة"/>
    <s v="مبكر"/>
    <s v="محمود على "/>
    <s v="داخلي"/>
    <s v="تم التسليم"/>
  </r>
  <r>
    <s v="reem"/>
    <s v="أفراد"/>
    <s v="البطاش"/>
    <s v="الإسكندرية"/>
    <x v="0"/>
    <n v="1"/>
    <x v="0"/>
    <s v="دورين"/>
    <s v="نوفال"/>
    <s v="100*140"/>
    <x v="9"/>
    <n v="12899"/>
    <s v="مسبق الدفع"/>
    <d v="2024-10-17T00:00:00"/>
    <d v="2024-12-22T00:00:00"/>
    <d v="2024-12-03T00:00:00"/>
    <n v="66"/>
    <n v="47"/>
    <n v="-19"/>
    <s v="ممتازة"/>
    <s v="مبكر"/>
    <s v="شركة الشحن"/>
    <s v="خارجي"/>
    <s v="تم التسليم"/>
  </r>
  <r>
    <s v="هشام سامى"/>
    <s v="أفراد"/>
    <s v="التجمع الخامس "/>
    <s v="القاهرة"/>
    <x v="6"/>
    <n v="1"/>
    <x v="0"/>
    <s v="فردي"/>
    <s v="بلحه"/>
    <n v="140"/>
    <x v="8"/>
    <n v="5135"/>
    <s v="مسبق الدفع"/>
    <d v="2024-10-20T00:00:00"/>
    <d v="2024-11-17T00:00:00"/>
    <d v="2024-11-14T00:00:00"/>
    <n v="28"/>
    <n v="25"/>
    <n v="-3"/>
    <s v="ممتازة"/>
    <s v="مبكر"/>
    <s v="محمود على "/>
    <s v="داخلي"/>
    <s v="تم التسليم"/>
  </r>
  <r>
    <s v="شيك هومز "/>
    <s v="شركات"/>
    <s v="٦ اكتوبر"/>
    <s v="الجيزة"/>
    <x v="1"/>
    <n v="1"/>
    <x v="0"/>
    <s v="دورين"/>
    <s v="فانتستيك"/>
    <n v="100"/>
    <x v="2"/>
    <n v="12777.5"/>
    <s v="كاش"/>
    <d v="2024-10-22T00:00:00"/>
    <d v="2024-11-12T00:00:00"/>
    <d v="2024-11-18T00:00:00"/>
    <n v="21"/>
    <n v="27"/>
    <n v="6"/>
    <s v="سيئة"/>
    <s v="متأخر"/>
    <s v="محمود على "/>
    <s v="داخلي"/>
    <s v="تم التسليم"/>
  </r>
  <r>
    <s v="اوسكار راتن"/>
    <s v="شركات"/>
    <s v="مدينة نصر "/>
    <s v="القاهرة"/>
    <x v="4"/>
    <n v="1"/>
    <x v="0"/>
    <s v="دورين"/>
    <s v="فانتستيك"/>
    <n v="100"/>
    <x v="2"/>
    <n v="8544.91"/>
    <s v="حساب شركه"/>
    <d v="2024-10-22T00:00:00"/>
    <m/>
    <m/>
    <s v=""/>
    <s v=""/>
    <s v=""/>
    <s v="سيئة"/>
    <s v="متأخر"/>
    <s v="فشل التسليم"/>
    <s v="داخلي"/>
    <s v="فشل التسليم"/>
  </r>
  <r>
    <s v="فاطمه محمد"/>
    <s v="أفراد"/>
    <s v="٦ اكتوبر"/>
    <s v="الجيزة"/>
    <x v="0"/>
    <n v="1"/>
    <x v="0"/>
    <s v="فردي"/>
    <s v="فورجينا"/>
    <n v="120"/>
    <x v="0"/>
    <n v="9007"/>
    <s v="كاش"/>
    <d v="2024-10-21T00:00:00"/>
    <d v="2024-11-14T00:00:00"/>
    <d v="2024-11-18T00:00:00"/>
    <n v="24"/>
    <n v="28"/>
    <n v="4"/>
    <s v="سيئة"/>
    <s v="متأخر"/>
    <s v="محمود على "/>
    <s v="داخلي"/>
    <s v="تم التسليم"/>
  </r>
  <r>
    <s v="شيك هومز "/>
    <s v="شركات"/>
    <s v="غير محدد"/>
    <s v="غير محدد"/>
    <x v="1"/>
    <n v="1"/>
    <x v="2"/>
    <s v="4*1"/>
    <m/>
    <m/>
    <x v="1"/>
    <n v="15516"/>
    <s v="مسبق الدفع"/>
    <d v="2024-10-24T00:00:00"/>
    <d v="2024-11-14T00:00:00"/>
    <d v="2024-10-30T00:00:00"/>
    <n v="21"/>
    <n v="6"/>
    <n v="-15"/>
    <s v="ممتازة"/>
    <s v="مبكر"/>
    <s v="محمود على "/>
    <s v="داخلي"/>
    <s v="تم التسليم"/>
  </r>
  <r>
    <s v="شيك هومز "/>
    <s v="شركات"/>
    <s v="غير محدد"/>
    <s v="غير محدد"/>
    <x v="1"/>
    <n v="1"/>
    <x v="0"/>
    <s v="دورين"/>
    <s v="كينج"/>
    <n v="100"/>
    <x v="1"/>
    <n v="10045"/>
    <s v="كاش"/>
    <d v="2024-10-26T00:00:00"/>
    <d v="2024-11-16T00:00:00"/>
    <m/>
    <n v="21"/>
    <s v=""/>
    <s v=""/>
    <s v="سيئة"/>
    <s v="متأخر"/>
    <s v="فشل التسليم"/>
    <s v="داخلي"/>
    <s v="فشل التسليم"/>
  </r>
  <r>
    <s v="ساره"/>
    <s v="أفراد"/>
    <s v="الشيخ زايد"/>
    <s v="الجيزة"/>
    <x v="0"/>
    <n v="1"/>
    <x v="0"/>
    <s v="دورين"/>
    <s v="كينج"/>
    <n v="90"/>
    <x v="1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ساره"/>
    <s v="أفراد"/>
    <s v="الشيخ زايد"/>
    <s v="الجيزة"/>
    <x v="0"/>
    <n v="1"/>
    <x v="0"/>
    <s v="دورين"/>
    <s v="كينج"/>
    <n v="90"/>
    <x v="1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بولا هومزمارت"/>
    <s v="شركات"/>
    <s v="المعادى"/>
    <s v="القاهرة"/>
    <x v="0"/>
    <n v="1"/>
    <x v="0"/>
    <s v="فردي"/>
    <s v="اسباني"/>
    <n v="100"/>
    <x v="0"/>
    <n v="48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بولا هومزمارت"/>
    <s v="شركات"/>
    <s v="المعادى"/>
    <s v="القاهرة"/>
    <x v="0"/>
    <n v="1"/>
    <x v="0"/>
    <s v="فردي"/>
    <s v="اسباني"/>
    <n v="120"/>
    <x v="0"/>
    <n v="50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محمد شكرى "/>
    <s v="أفراد"/>
    <s v="مدينتى"/>
    <s v="القاهرة"/>
    <x v="0"/>
    <n v="1"/>
    <x v="0"/>
    <s v="دورين"/>
    <s v="كيفنج"/>
    <n v="80"/>
    <x v="0"/>
    <n v="12099"/>
    <s v="مسبق الدفع"/>
    <d v="2024-11-11T00:00:00"/>
    <d v="2024-11-26T00:00:00"/>
    <d v="2024-11-27T00:00:00"/>
    <n v="15"/>
    <n v="16"/>
    <n v="1"/>
    <s v="مقبولة"/>
    <s v="متأخر"/>
    <s v="محمود على "/>
    <s v="داخلي"/>
    <s v="تم التسليم"/>
  </r>
  <r>
    <s v="شيك هومز"/>
    <s v="شركات"/>
    <s v="غير محدد"/>
    <s v="غير محدد"/>
    <x v="1"/>
    <n v="1"/>
    <x v="2"/>
    <s v="4*1"/>
    <s v="ارينا"/>
    <m/>
    <x v="1"/>
    <n v="15872"/>
    <s v="مسبق الدفع"/>
    <d v="2024-11-08T00:00:00"/>
    <d v="2024-12-03T00:00:00"/>
    <d v="2024-11-14T00:00:00"/>
    <n v="25"/>
    <n v="6"/>
    <n v="-19"/>
    <s v="ممتازة"/>
    <s v="مبكر"/>
    <s v="محمود على "/>
    <s v="داخلي"/>
    <s v="تم التسليم"/>
  </r>
  <r>
    <s v="منزلى"/>
    <s v="شركات"/>
    <s v="التجمع الخامس "/>
    <s v="القاهرة"/>
    <x v="6"/>
    <n v="1"/>
    <x v="0"/>
    <s v="فردي"/>
    <s v="فورجينا"/>
    <n v="120"/>
    <x v="0"/>
    <n v="4520"/>
    <s v="حساب شركه"/>
    <d v="2024-11-10T00:00:00"/>
    <d v="2024-11-22T00:00:00"/>
    <d v="2024-11-21T00:00:00"/>
    <n v="12"/>
    <n v="11"/>
    <n v="-1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كينج"/>
    <n v="90"/>
    <x v="1"/>
    <n v="5766"/>
    <s v="حساب شركه"/>
    <d v="2024-11-12T00:00:00"/>
    <d v="2024-11-26T00:00:00"/>
    <d v="2024-11-25T00:00:00"/>
    <n v="14"/>
    <n v="13"/>
    <n v="-1"/>
    <s v="ممتازة"/>
    <s v="مبكر"/>
    <s v="محمود على "/>
    <s v="داخلي"/>
    <s v="تم التسليم"/>
  </r>
  <r>
    <s v="حماده"/>
    <s v="أفراد"/>
    <s v="المعادى"/>
    <s v="القاهرة"/>
    <x v="0"/>
    <n v="1"/>
    <x v="0"/>
    <s v="فردي"/>
    <s v="فورجينا"/>
    <n v="160"/>
    <x v="6"/>
    <n v="11395"/>
    <s v="مسبق الدفع"/>
    <d v="2024-11-12T00:00:00"/>
    <d v="2024-11-24T00:00:00"/>
    <d v="2024-11-27T00:00:00"/>
    <n v="12"/>
    <n v="15"/>
    <n v="3"/>
    <s v="مقبولة"/>
    <s v="متأخر"/>
    <s v="محمود على "/>
    <s v="داخلي"/>
    <s v="تم التسليم"/>
  </r>
  <r>
    <s v="صفاء عبد الباقي"/>
    <s v="أفراد"/>
    <s v="التجمع الخامس "/>
    <s v="القاهرة"/>
    <x v="0"/>
    <n v="1"/>
    <x v="0"/>
    <s v="دورين"/>
    <s v="كينج "/>
    <n v="80"/>
    <x v="0"/>
    <n v="12919"/>
    <s v="مسبق الدفع"/>
    <d v="2024-11-14T00:00:00"/>
    <d v="2024-11-30T00:00:00"/>
    <d v="2024-11-27T00:00:00"/>
    <n v="16"/>
    <n v="13"/>
    <n v="-3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نوفال"/>
    <n v="120"/>
    <x v="3"/>
    <n v="6376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اوسكار راتن"/>
    <s v="شركات"/>
    <s v="أبو رواش"/>
    <s v="الجيزة"/>
    <x v="4"/>
    <n v="1"/>
    <x v="0"/>
    <s v="دورين"/>
    <s v="نوفال"/>
    <n v="90"/>
    <x v="1"/>
    <n v="5294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رندا العامرى "/>
    <s v="أفراد"/>
    <s v="٦ اكتوبر"/>
    <s v="الجيزة"/>
    <x v="7"/>
    <n v="1"/>
    <x v="0"/>
    <s v="دورين"/>
    <s v="كيفنج "/>
    <n v="80"/>
    <x v="0"/>
    <n v="7396"/>
    <s v="مسبق الدفع"/>
    <d v="2024-11-17T00:00:00"/>
    <d v="2024-11-28T00:00:00"/>
    <d v="2024-11-26T00:00:00"/>
    <n v="11"/>
    <n v="9"/>
    <n v="-2"/>
    <s v="ممتازة"/>
    <s v="مبكر"/>
    <s v="محمود على "/>
    <s v="داخلي"/>
    <s v="تم التسليم"/>
  </r>
  <r>
    <s v="ساره"/>
    <s v="أفراد"/>
    <s v="٦ اكتوبر"/>
    <s v="الجيزة"/>
    <x v="0"/>
    <n v="1"/>
    <x v="0"/>
    <s v="دورين"/>
    <s v="كينج"/>
    <n v="90"/>
    <x v="1"/>
    <n v="13575"/>
    <s v="كاش"/>
    <d v="2024-11-20T00:00:00"/>
    <d v="2024-12-05T00:00:00"/>
    <d v="2024-11-26T00:00:00"/>
    <n v="15"/>
    <n v="6"/>
    <n v="-9"/>
    <s v="ممتازة"/>
    <s v="مبكر"/>
    <s v="محمود على "/>
    <s v="داخلي"/>
    <s v="تم التسليم"/>
  </r>
  <r>
    <s v="تاكى "/>
    <s v="شركات"/>
    <s v="العباسية"/>
    <s v="القاهرة"/>
    <x v="3"/>
    <n v="1"/>
    <x v="0"/>
    <s v="فردي"/>
    <s v="امريكى"/>
    <n v="160"/>
    <x v="1"/>
    <n v="5100"/>
    <s v="حساب شركه"/>
    <d v="2024-11-14T00:00:00"/>
    <d v="2024-12-08T00:00:00"/>
    <m/>
    <n v="24"/>
    <s v=""/>
    <s v=""/>
    <s v="سيئة"/>
    <s v="متأخر"/>
    <s v="غير معروف"/>
    <s v="غير معروف"/>
    <s v="تم التسليم"/>
  </r>
  <r>
    <s v="محمد حمدى"/>
    <s v="أفراد"/>
    <s v="مصر الجديدة"/>
    <s v="القاهرة"/>
    <x v="2"/>
    <n v="1"/>
    <x v="0"/>
    <s v="فردي"/>
    <s v="كوين "/>
    <n v="160"/>
    <x v="5"/>
    <n v="5800"/>
    <s v="كاش"/>
    <d v="2024-11-22T00:00:00"/>
    <d v="2024-12-02T00:00:00"/>
    <d v="2024-11-27T00:00:00"/>
    <n v="10"/>
    <n v="5"/>
    <n v="-5"/>
    <s v="ممتازة"/>
    <s v="مبكر"/>
    <s v="محمود على "/>
    <s v="داخلي"/>
    <s v="تم التسليم"/>
  </r>
  <r>
    <s v="بافلى هانى "/>
    <s v="شركات"/>
    <s v="شبرا "/>
    <s v="القاهرة"/>
    <x v="0"/>
    <n v="1"/>
    <x v="0"/>
    <s v="فردي"/>
    <s v="اسباني"/>
    <n v="120"/>
    <x v="3"/>
    <n v="10885"/>
    <s v="كاش"/>
    <d v="2024-11-24T00:00:00"/>
    <d v="2024-12-05T00:00:00"/>
    <d v="2024-12-10T00:00:00"/>
    <n v="11"/>
    <n v="16"/>
    <n v="5"/>
    <s v="سيئة"/>
    <s v="متأخر"/>
    <s v="محمود على "/>
    <s v="داخلي"/>
    <s v="تم التسليم"/>
  </r>
  <r>
    <s v="تاكى "/>
    <s v="شركات"/>
    <s v="العباسية"/>
    <s v="القاهرة"/>
    <x v="3"/>
    <n v="1"/>
    <x v="2"/>
    <m/>
    <m/>
    <m/>
    <x v="2"/>
    <n v="6000"/>
    <s v="كاش"/>
    <d v="2024-11-19T00:00:00"/>
    <d v="2024-12-05T00:00:00"/>
    <d v="2024-11-20T00:00:00"/>
    <n v="16"/>
    <n v="1"/>
    <n v="-15"/>
    <s v="ممتازة"/>
    <s v="مبكر"/>
    <s v="م محمد "/>
    <s v="داخلي"/>
    <s v="تم التسليم"/>
  </r>
  <r>
    <s v="رنا ميلاد"/>
    <s v="أفراد"/>
    <s v="جليم"/>
    <s v="الإسكندرية"/>
    <x v="0"/>
    <n v="1"/>
    <x v="1"/>
    <s v="مكتبة"/>
    <m/>
    <m/>
    <x v="2"/>
    <n v="8449"/>
    <s v="مسبق الدفع"/>
    <d v="2024-11-27T00:00:00"/>
    <d v="2024-12-10T00:00:00"/>
    <d v="2024-12-23T00:00:00"/>
    <n v="13"/>
    <n v="26"/>
    <n v="13"/>
    <s v="سيئة"/>
    <s v="متأخر"/>
    <s v="شركة الشحن"/>
    <s v="خارجي"/>
    <s v="تم التسليم"/>
  </r>
  <r>
    <s v="محمد ناجى"/>
    <s v="أفراد"/>
    <s v="مدينة نصر "/>
    <s v="القاهرة"/>
    <x v="0"/>
    <n v="1"/>
    <x v="1"/>
    <s v="دورين"/>
    <m/>
    <m/>
    <x v="0"/>
    <n v="10249"/>
    <s v="كاش"/>
    <d v="2024-11-27T00:00:00"/>
    <d v="2024-12-10T00:00:00"/>
    <d v="2024-12-19T00:00:00"/>
    <n v="13"/>
    <n v="22"/>
    <n v="9"/>
    <s v="سيئة"/>
    <s v="متأخر"/>
    <s v="محمود على "/>
    <s v="داخلي"/>
    <s v="تم التسليم"/>
  </r>
  <r>
    <s v="احمد عبد الستار"/>
    <s v="أفراد"/>
    <s v="المندرة"/>
    <s v="الإسكندرية"/>
    <x v="0"/>
    <n v="1"/>
    <x v="0"/>
    <s v="دورين"/>
    <s v="كيفنج"/>
    <n v="100"/>
    <x v="1"/>
    <n v="14905"/>
    <s v="مسبق الدفع"/>
    <d v="2024-11-29T00:00:00"/>
    <d v="2024-12-15T00:00:00"/>
    <m/>
    <n v="16"/>
    <s v=""/>
    <s v=""/>
    <s v="سيئة"/>
    <s v="متأخر"/>
    <s v="فشل التسليم "/>
    <s v="داخلي"/>
    <s v="فشل التسليم"/>
  </r>
  <r>
    <s v="نور "/>
    <s v="أفراد"/>
    <s v="القاهرة الجديدة"/>
    <s v="القاهرة"/>
    <x v="0"/>
    <n v="1"/>
    <x v="1"/>
    <s v="دوران "/>
    <m/>
    <m/>
    <x v="1"/>
    <n v="1024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نور"/>
    <s v="أفراد"/>
    <s v="القاهرة الجديدة"/>
    <s v="القاهرة"/>
    <x v="0"/>
    <n v="1"/>
    <x v="1"/>
    <s v="قهوة"/>
    <m/>
    <m/>
    <x v="1"/>
    <n v="902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تامر"/>
    <s v="أفراد"/>
    <s v="العين السخنة"/>
    <s v="السويس"/>
    <x v="0"/>
    <n v="1"/>
    <x v="1"/>
    <s v="دورين"/>
    <m/>
    <m/>
    <x v="1"/>
    <n v="9029"/>
    <s v="مسبق الدفع"/>
    <d v="2024-11-30T00:00:00"/>
    <d v="2024-12-12T00:00:00"/>
    <m/>
    <n v="12"/>
    <s v=""/>
    <s v=""/>
    <s v="سيئة"/>
    <s v="متأخر"/>
    <s v="غير معروف"/>
    <s v="غير معروف"/>
    <s v="تم التسليم"/>
  </r>
  <r>
    <s v="هناء اسامه"/>
    <s v="أفراد"/>
    <s v="القطامية"/>
    <s v="القاهرة"/>
    <x v="0"/>
    <n v="1"/>
    <x v="0"/>
    <s v="دورين "/>
    <s v="نوفال"/>
    <n v="80"/>
    <x v="0"/>
    <n v="12099"/>
    <s v="مسبق الدفع"/>
    <d v="2024-12-02T00:00:00"/>
    <d v="2024-12-17T00:00:00"/>
    <m/>
    <n v="15"/>
    <s v=""/>
    <s v=""/>
    <s v="سيئة"/>
    <s v="متأخر"/>
    <s v="فشل التسليم"/>
    <s v="داخلي"/>
    <s v="فشل التسليم"/>
  </r>
  <r>
    <s v="اوسكار راتن"/>
    <s v="شركات"/>
    <s v="أبو رواش"/>
    <s v="الجيزة"/>
    <x v="4"/>
    <n v="1"/>
    <x v="0"/>
    <s v="دورين"/>
    <s v="كيفنج "/>
    <n v="90"/>
    <x v="4"/>
    <n v="5217"/>
    <s v="حساب شركه"/>
    <d v="2024-12-01T00:00:00"/>
    <d v="2024-12-14T00:00:00"/>
    <d v="2024-12-10T00:00:00"/>
    <n v="13"/>
    <n v="9"/>
    <n v="-4"/>
    <s v="ممتازة"/>
    <s v="مبكر"/>
    <s v="محمود على "/>
    <s v="داخلي"/>
    <s v="تم التسليم"/>
  </r>
  <r>
    <s v="محمد عادل "/>
    <s v="أفراد"/>
    <s v="العبور"/>
    <s v="القليوبية"/>
    <x v="0"/>
    <n v="1"/>
    <x v="0"/>
    <s v="منطبق"/>
    <m/>
    <m/>
    <x v="1"/>
    <n v="10249"/>
    <s v="كاش"/>
    <d v="2024-12-04T00:00:00"/>
    <d v="2024-12-14T00:00:00"/>
    <d v="2024-12-19T00:00:00"/>
    <n v="10"/>
    <n v="15"/>
    <n v="5"/>
    <s v="سيئة"/>
    <s v="متأخر"/>
    <s v="محمود على "/>
    <s v="داخلي"/>
    <s v="تم التسليم"/>
  </r>
  <r>
    <s v="مريم عنان"/>
    <s v="أفراد"/>
    <s v="القاهرة الجديدة"/>
    <s v="القاهرة"/>
    <x v="1"/>
    <n v="1"/>
    <x v="0"/>
    <s v="دورين"/>
    <s v="كينج"/>
    <m/>
    <x v="1"/>
    <n v="10445"/>
    <s v="كاش"/>
    <d v="2024-12-09T00:00:00"/>
    <d v="2024-12-31T00:00:00"/>
    <d v="2024-12-12T00:00:00"/>
    <n v="22"/>
    <n v="3"/>
    <n v="-19"/>
    <s v="ممتازة"/>
    <s v="مبكر"/>
    <s v="محمود على "/>
    <s v="داخلي"/>
    <s v="تم التسليم"/>
  </r>
  <r>
    <s v="هبه عطيه "/>
    <s v="أفراد"/>
    <s v="القاهرة الجديدة"/>
    <s v="القاهرة"/>
    <x v="0"/>
    <n v="1"/>
    <x v="1"/>
    <s v="دورين"/>
    <m/>
    <m/>
    <x v="1"/>
    <n v="11257"/>
    <s v="كاش"/>
    <d v="2024-12-12T00:00:00"/>
    <d v="2024-12-24T00:00:00"/>
    <d v="2024-12-19T00:00:00"/>
    <n v="12"/>
    <n v="7"/>
    <n v="-5"/>
    <s v="ممتازة"/>
    <s v="مبكر"/>
    <s v="محمود على "/>
    <s v="داخلي"/>
    <s v="تم التسليم"/>
  </r>
  <r>
    <s v="حمدى ذكرى"/>
    <s v="أفراد"/>
    <s v="٦ اكتوبر"/>
    <s v="الجيزة"/>
    <x v="0"/>
    <n v="1"/>
    <x v="0"/>
    <s v="دورين"/>
    <s v="نوفال"/>
    <n v="80"/>
    <x v="1"/>
    <n v="13231"/>
    <s v="كاش"/>
    <d v="2024-12-12T00:00:00"/>
    <d v="2024-12-28T00:00:00"/>
    <d v="2024-12-29T00:00:00"/>
    <n v="16"/>
    <n v="17"/>
    <n v="1"/>
    <s v="مقبولة"/>
    <s v="متأخر"/>
    <s v="محمود على "/>
    <s v="داخلي"/>
    <s v="تم التسليم"/>
  </r>
  <r>
    <s v="شيك هومز"/>
    <s v="شركات"/>
    <s v="غير محدد"/>
    <s v="غير محدد"/>
    <x v="1"/>
    <n v="1"/>
    <x v="2"/>
    <s v="4*1"/>
    <s v="ارينا"/>
    <m/>
    <x v="1"/>
    <n v="8700"/>
    <s v="حساب شركه"/>
    <d v="2024-12-14T00:00:00"/>
    <d v="2025-01-05T00:00:00"/>
    <d v="2024-12-29T00:00:00"/>
    <n v="22"/>
    <n v="15"/>
    <n v="-7"/>
    <s v="ممتازة"/>
    <s v="مبكر"/>
    <s v="محمود على "/>
    <s v="داخلي"/>
    <s v="تم التسلي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4C210-38BE-48AC-B9E4-BF99EE954DE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3" firstHeaderRow="1" firstDataRow="1" firstDataCol="1"/>
  <pivotFields count="24">
    <pivotField showAll="0"/>
    <pivotField showAll="0"/>
    <pivotField showAll="0"/>
    <pivotField showAll="0"/>
    <pivotField axis="axisRow" showAll="0" sortType="descending">
      <items count="13">
        <item x="5"/>
        <item x="4"/>
        <item x="3"/>
        <item m="1" x="8"/>
        <item m="1" x="9"/>
        <item x="1"/>
        <item x="2"/>
        <item x="7"/>
        <item m="1" x="11"/>
        <item x="6"/>
        <item x="0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10"/>
    </i>
    <i>
      <x v="5"/>
    </i>
    <i>
      <x v="2"/>
    </i>
    <i>
      <x v="1"/>
    </i>
    <i>
      <x/>
    </i>
    <i>
      <x v="6"/>
    </i>
    <i>
      <x v="9"/>
    </i>
    <i>
      <x v="7"/>
    </i>
    <i t="grand">
      <x/>
    </i>
  </rowItems>
  <colItems count="1">
    <i/>
  </colItems>
  <dataFields count="1">
    <dataField name="Sum of سعر البيع " fld="11" baseField="0" baseItem="0"/>
  </dataFields>
  <formats count="21">
    <format dxfId="20">
      <pivotArea type="all" dataOnly="0" outline="0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4" count="1">
            <x v="7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4" count="1">
            <x v="5"/>
          </reference>
        </references>
      </pivotArea>
    </format>
    <format dxfId="10">
      <pivotArea collapsedLevelsAreSubtotals="1" fieldPosition="0">
        <references count="1">
          <reference field="4" count="1">
            <x v="1"/>
          </reference>
        </references>
      </pivotArea>
    </format>
    <format dxfId="9">
      <pivotArea grandRow="1" outline="0" collapsedLevelsAreSubtotals="1" fieldPosition="0"/>
    </format>
    <format dxfId="8">
      <pivotArea type="all" dataOnly="0" outline="0" fieldPosition="0"/>
    </format>
    <format dxfId="7">
      <pivotArea collapsedLevelsAreSubtotals="1" fieldPosition="0">
        <references count="1">
          <reference field="4" count="1">
            <x v="7"/>
          </reference>
        </references>
      </pivotArea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30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29"/>
    <tableColumn id="14" xr3:uid="{A3044487-946A-455C-89A4-8515B2D492C0}" name="ميعاد التسليم المتوقع " dataDxfId="28"/>
    <tableColumn id="15" xr3:uid="{E475A0BE-ED4D-413A-B0AC-F3E9F34E8AD1}" name="تاريخ التسليم الفعلي" dataDxfId="27"/>
    <tableColumn id="23" xr3:uid="{1DFB1D07-657C-482C-BBEE-1CAC6527E332}" name="المدة المتوقعة" dataDxfId="26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25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24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23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22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21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tabSelected="1" topLeftCell="B1" zoomScaleNormal="70" workbookViewId="0">
      <pane ySplit="1" topLeftCell="A3" activePane="bottomLeft" state="frozen"/>
      <selection pane="bottomLeft" activeCell="L122" sqref="L122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3" bestFit="1" customWidth="1"/>
    <col min="15" max="15" width="15.88671875" style="3" bestFit="1" customWidth="1"/>
    <col min="16" max="16" width="23.77734375" style="3" bestFit="1" customWidth="1"/>
    <col min="17" max="21" width="23.77734375" style="5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147</v>
      </c>
      <c r="C1" t="s">
        <v>150</v>
      </c>
      <c r="D1" t="s">
        <v>151</v>
      </c>
      <c r="E1" t="s">
        <v>2</v>
      </c>
      <c r="F1" t="s">
        <v>186</v>
      </c>
      <c r="G1" t="s">
        <v>141</v>
      </c>
      <c r="H1" t="s">
        <v>142</v>
      </c>
      <c r="I1" t="s">
        <v>79</v>
      </c>
      <c r="J1" t="s">
        <v>80</v>
      </c>
      <c r="K1" t="s">
        <v>199</v>
      </c>
      <c r="L1" t="s">
        <v>4</v>
      </c>
      <c r="M1" t="s">
        <v>191</v>
      </c>
      <c r="N1" s="2" t="s">
        <v>194</v>
      </c>
      <c r="O1" s="2" t="s">
        <v>195</v>
      </c>
      <c r="P1" s="2" t="s">
        <v>193</v>
      </c>
      <c r="Q1" s="4" t="s">
        <v>197</v>
      </c>
      <c r="R1" s="4" t="s">
        <v>196</v>
      </c>
      <c r="S1" s="4" t="s">
        <v>198</v>
      </c>
      <c r="T1" s="4" t="s">
        <v>203</v>
      </c>
      <c r="U1" s="4" t="s">
        <v>200</v>
      </c>
      <c r="V1" t="s">
        <v>1</v>
      </c>
      <c r="W1" t="s">
        <v>201</v>
      </c>
      <c r="X1" t="s">
        <v>86</v>
      </c>
    </row>
    <row r="2" spans="1:24" ht="20.100000000000001" customHeight="1" x14ac:dyDescent="0.3">
      <c r="A2" t="s">
        <v>12</v>
      </c>
      <c r="B2" t="s">
        <v>148</v>
      </c>
      <c r="C2" t="s">
        <v>32</v>
      </c>
      <c r="D2" t="s">
        <v>158</v>
      </c>
      <c r="E2" t="s">
        <v>3</v>
      </c>
      <c r="F2">
        <v>1</v>
      </c>
      <c r="G2" t="s">
        <v>63</v>
      </c>
      <c r="H2" t="s">
        <v>180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2">
        <v>45548</v>
      </c>
      <c r="O2" s="2">
        <v>45565</v>
      </c>
      <c r="P2" s="2">
        <v>45568</v>
      </c>
      <c r="Q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143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148</v>
      </c>
      <c r="C3" t="s">
        <v>41</v>
      </c>
      <c r="D3" t="s">
        <v>158</v>
      </c>
      <c r="E3" t="s">
        <v>3</v>
      </c>
      <c r="F3">
        <v>1</v>
      </c>
      <c r="G3" t="s">
        <v>63</v>
      </c>
      <c r="H3" t="s">
        <v>180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2">
        <v>45548</v>
      </c>
      <c r="O3" s="2">
        <v>45565</v>
      </c>
      <c r="P3" s="2">
        <v>45569</v>
      </c>
      <c r="Q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143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148</v>
      </c>
      <c r="C4" t="s">
        <v>176</v>
      </c>
      <c r="D4" t="s">
        <v>152</v>
      </c>
      <c r="E4" t="s">
        <v>3</v>
      </c>
      <c r="F4">
        <v>1</v>
      </c>
      <c r="G4" t="s">
        <v>63</v>
      </c>
      <c r="H4" t="s">
        <v>181</v>
      </c>
      <c r="I4" t="s">
        <v>182</v>
      </c>
      <c r="J4">
        <v>140</v>
      </c>
      <c r="K4" t="s">
        <v>75</v>
      </c>
      <c r="L4">
        <v>11817</v>
      </c>
      <c r="M4" t="s">
        <v>6</v>
      </c>
      <c r="N4" s="2">
        <v>45549</v>
      </c>
      <c r="O4" s="2">
        <v>45594</v>
      </c>
      <c r="P4" s="2">
        <v>45580</v>
      </c>
      <c r="Q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143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148</v>
      </c>
      <c r="C5" t="s">
        <v>178</v>
      </c>
      <c r="D5" t="s">
        <v>157</v>
      </c>
      <c r="E5" t="s">
        <v>3</v>
      </c>
      <c r="F5">
        <v>1</v>
      </c>
      <c r="G5" t="s">
        <v>184</v>
      </c>
      <c r="H5" t="s">
        <v>185</v>
      </c>
      <c r="I5"/>
      <c r="J5"/>
      <c r="K5"/>
      <c r="L5">
        <v>8642</v>
      </c>
      <c r="M5" t="s">
        <v>6</v>
      </c>
      <c r="N5" s="2">
        <v>45529</v>
      </c>
      <c r="O5" s="2">
        <v>45542</v>
      </c>
      <c r="P5" s="2">
        <v>45531</v>
      </c>
      <c r="Q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4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202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148</v>
      </c>
      <c r="C6" t="s">
        <v>161</v>
      </c>
      <c r="D6" t="s">
        <v>158</v>
      </c>
      <c r="E6" t="s">
        <v>3</v>
      </c>
      <c r="F6">
        <v>1</v>
      </c>
      <c r="G6" t="s">
        <v>63</v>
      </c>
      <c r="H6" t="s">
        <v>181</v>
      </c>
      <c r="I6" t="s">
        <v>182</v>
      </c>
      <c r="J6">
        <v>120</v>
      </c>
      <c r="K6" t="s">
        <v>75</v>
      </c>
      <c r="L6">
        <v>7460</v>
      </c>
      <c r="M6" t="s">
        <v>6</v>
      </c>
      <c r="N6" s="2">
        <v>45548</v>
      </c>
      <c r="O6" s="2">
        <v>45561</v>
      </c>
      <c r="P6" s="2">
        <v>45568</v>
      </c>
      <c r="Q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143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149</v>
      </c>
      <c r="C7" t="s">
        <v>178</v>
      </c>
      <c r="D7" t="s">
        <v>178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183</v>
      </c>
      <c r="L7">
        <v>14550</v>
      </c>
      <c r="M7" t="s">
        <v>6</v>
      </c>
      <c r="N7" s="2">
        <v>45518</v>
      </c>
      <c r="O7" s="2">
        <v>45538</v>
      </c>
      <c r="P7" s="2">
        <v>45540</v>
      </c>
      <c r="Q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202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148</v>
      </c>
      <c r="C8" t="s">
        <v>178</v>
      </c>
      <c r="D8" t="s">
        <v>178</v>
      </c>
      <c r="E8" t="s">
        <v>125</v>
      </c>
      <c r="F8">
        <v>1</v>
      </c>
      <c r="G8" t="s">
        <v>71</v>
      </c>
      <c r="H8" t="s">
        <v>63</v>
      </c>
      <c r="I8"/>
      <c r="J8"/>
      <c r="K8" t="s">
        <v>183</v>
      </c>
      <c r="L8">
        <v>12000</v>
      </c>
      <c r="M8" t="s">
        <v>192</v>
      </c>
      <c r="N8" s="2">
        <v>45521</v>
      </c>
      <c r="O8" s="2">
        <v>45524</v>
      </c>
      <c r="P8" s="2">
        <v>45523</v>
      </c>
      <c r="Q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202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148</v>
      </c>
      <c r="C9" t="s">
        <v>164</v>
      </c>
      <c r="D9" t="s">
        <v>95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2">
        <v>45548</v>
      </c>
      <c r="O9" s="2">
        <v>45565</v>
      </c>
      <c r="P9" s="2">
        <v>45568</v>
      </c>
      <c r="Q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202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149</v>
      </c>
      <c r="C10" t="s">
        <v>160</v>
      </c>
      <c r="D10" t="s">
        <v>158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192</v>
      </c>
      <c r="N10" s="2">
        <v>45523</v>
      </c>
      <c r="O10" s="2">
        <v>45536</v>
      </c>
      <c r="P10" s="2">
        <v>45552</v>
      </c>
      <c r="Q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145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149</v>
      </c>
      <c r="C11" t="s">
        <v>160</v>
      </c>
      <c r="D11" t="s">
        <v>158</v>
      </c>
      <c r="E11" t="s">
        <v>16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192</v>
      </c>
      <c r="N11" s="2"/>
      <c r="O11" s="2"/>
      <c r="P11" s="2"/>
      <c r="Q11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149</v>
      </c>
      <c r="C12" t="s">
        <v>160</v>
      </c>
      <c r="D12" t="s">
        <v>158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192</v>
      </c>
      <c r="N12" s="2">
        <v>45529</v>
      </c>
      <c r="O12" s="2">
        <v>45550</v>
      </c>
      <c r="P12" s="2">
        <v>45552</v>
      </c>
      <c r="Q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143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148</v>
      </c>
      <c r="C13" t="s">
        <v>168</v>
      </c>
      <c r="D13" t="s">
        <v>152</v>
      </c>
      <c r="E13" t="s">
        <v>125</v>
      </c>
      <c r="F13">
        <v>1</v>
      </c>
      <c r="G13" t="s">
        <v>63</v>
      </c>
      <c r="H13" t="s">
        <v>180</v>
      </c>
      <c r="I13"/>
      <c r="J13">
        <v>100</v>
      </c>
      <c r="K13"/>
      <c r="L13">
        <v>9450</v>
      </c>
      <c r="M13" t="s">
        <v>192</v>
      </c>
      <c r="N13" s="2">
        <v>45547</v>
      </c>
      <c r="O13" s="2">
        <v>45561</v>
      </c>
      <c r="P13" s="2"/>
      <c r="Q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148</v>
      </c>
      <c r="C14" t="s">
        <v>155</v>
      </c>
      <c r="D14" t="s">
        <v>156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192</v>
      </c>
      <c r="N14" s="2">
        <v>45500</v>
      </c>
      <c r="O14" s="2"/>
      <c r="P14" s="2"/>
      <c r="Q14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2" t="str">
        <f>IF(MISUO[[#This Row],[الفرق بين الفعلي والمتوقع]]&gt;3,"سيئة",IF(MISUO[[#This Row],[الفرق بين الفعلي والمتوقع]]&gt;=0,"مقبولة","ممتازة"))</f>
        <v>سيئة</v>
      </c>
      <c r="U1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148</v>
      </c>
      <c r="C15" t="s">
        <v>23</v>
      </c>
      <c r="D15" t="s">
        <v>158</v>
      </c>
      <c r="E15" t="s">
        <v>3</v>
      </c>
      <c r="F15">
        <v>1</v>
      </c>
      <c r="G15" t="s">
        <v>184</v>
      </c>
      <c r="H15" t="s">
        <v>185</v>
      </c>
      <c r="I15"/>
      <c r="J15"/>
      <c r="K15"/>
      <c r="L15">
        <v>7849</v>
      </c>
      <c r="M15" t="s">
        <v>6</v>
      </c>
      <c r="N15" s="2">
        <v>45539</v>
      </c>
      <c r="O15" s="2">
        <v>45551</v>
      </c>
      <c r="P15" s="2">
        <v>45560</v>
      </c>
      <c r="Q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202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93</v>
      </c>
    </row>
    <row r="16" spans="1:24" ht="20.100000000000001" customHeight="1" x14ac:dyDescent="0.3">
      <c r="A16" t="s">
        <v>19</v>
      </c>
      <c r="B16" t="s">
        <v>148</v>
      </c>
      <c r="C16" t="s">
        <v>20</v>
      </c>
      <c r="D16" t="s">
        <v>158</v>
      </c>
      <c r="E16" t="s">
        <v>146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192</v>
      </c>
      <c r="N16" s="2">
        <v>45538</v>
      </c>
      <c r="O16" s="2">
        <v>45551</v>
      </c>
      <c r="P16" s="2">
        <v>45550</v>
      </c>
      <c r="Q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143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149</v>
      </c>
      <c r="C17" t="s">
        <v>178</v>
      </c>
      <c r="D17" t="s">
        <v>178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192</v>
      </c>
      <c r="N17" s="2">
        <v>45536</v>
      </c>
      <c r="O17" s="2">
        <v>45554</v>
      </c>
      <c r="P17" s="2">
        <v>45556</v>
      </c>
      <c r="Q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143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148</v>
      </c>
      <c r="C18" t="s">
        <v>161</v>
      </c>
      <c r="D18" t="s">
        <v>158</v>
      </c>
      <c r="E18" t="s">
        <v>3</v>
      </c>
      <c r="F18">
        <v>4</v>
      </c>
      <c r="G18" t="s">
        <v>63</v>
      </c>
      <c r="H18" t="s">
        <v>181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2">
        <v>45541</v>
      </c>
      <c r="O18" s="2">
        <v>45551</v>
      </c>
      <c r="P18" s="2">
        <v>45556</v>
      </c>
      <c r="Q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4" t="str">
        <f>IF(MISUO[[#This Row],[الفرق بين الفعلي والمتوقع]]&gt;3,"سيئة",IF(MISUO[[#This Row],[الفرق بين الفعلي والمتوقع]]&gt;=0,"مقبولة","ممتازة"))</f>
        <v>سيئة</v>
      </c>
      <c r="U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143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149</v>
      </c>
      <c r="C19" t="s">
        <v>160</v>
      </c>
      <c r="D19" t="s">
        <v>158</v>
      </c>
      <c r="E19" t="s">
        <v>16</v>
      </c>
      <c r="F19">
        <v>2</v>
      </c>
      <c r="G19" t="s">
        <v>190</v>
      </c>
      <c r="H19"/>
      <c r="I19" t="s">
        <v>96</v>
      </c>
      <c r="J19"/>
      <c r="K19"/>
      <c r="L19">
        <v>9300</v>
      </c>
      <c r="M19" t="s">
        <v>192</v>
      </c>
      <c r="N19" s="2">
        <v>45539</v>
      </c>
      <c r="O19" s="2">
        <v>45550</v>
      </c>
      <c r="P19" s="2">
        <v>45552</v>
      </c>
      <c r="Q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143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148</v>
      </c>
      <c r="C20" t="s">
        <v>161</v>
      </c>
      <c r="D20" t="s">
        <v>158</v>
      </c>
      <c r="E20" t="s">
        <v>3</v>
      </c>
      <c r="F20">
        <v>4</v>
      </c>
      <c r="G20" t="s">
        <v>63</v>
      </c>
      <c r="H20" t="s">
        <v>181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2">
        <v>45541</v>
      </c>
      <c r="O20" s="2">
        <v>45551</v>
      </c>
      <c r="P20" s="2">
        <v>45556</v>
      </c>
      <c r="Q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4" t="str">
        <f>IF(MISUO[[#This Row],[الفرق بين الفعلي والمتوقع]]&gt;3,"سيئة",IF(MISUO[[#This Row],[الفرق بين الفعلي والمتوقع]]&gt;=0,"مقبولة","ممتازة"))</f>
        <v>سيئة</v>
      </c>
      <c r="U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143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148</v>
      </c>
      <c r="C21" t="s">
        <v>161</v>
      </c>
      <c r="D21" t="s">
        <v>158</v>
      </c>
      <c r="E21" t="s">
        <v>3</v>
      </c>
      <c r="F21">
        <v>4</v>
      </c>
      <c r="G21" t="s">
        <v>63</v>
      </c>
      <c r="H21" t="s">
        <v>181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2">
        <v>45541</v>
      </c>
      <c r="O21" s="2">
        <v>45551</v>
      </c>
      <c r="P21" s="2">
        <v>45556</v>
      </c>
      <c r="Q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4" t="str">
        <f>IF(MISUO[[#This Row],[الفرق بين الفعلي والمتوقع]]&gt;3,"سيئة",IF(MISUO[[#This Row],[الفرق بين الفعلي والمتوقع]]&gt;=0,"مقبولة","ممتازة"))</f>
        <v>سيئة</v>
      </c>
      <c r="U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143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148</v>
      </c>
      <c r="C22" t="s">
        <v>161</v>
      </c>
      <c r="D22" t="s">
        <v>158</v>
      </c>
      <c r="E22" t="s">
        <v>3</v>
      </c>
      <c r="F22">
        <v>4</v>
      </c>
      <c r="G22" t="s">
        <v>63</v>
      </c>
      <c r="H22" t="s">
        <v>181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2">
        <v>45541</v>
      </c>
      <c r="O22" s="2">
        <v>45551</v>
      </c>
      <c r="P22" s="2">
        <v>45556</v>
      </c>
      <c r="Q2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4" t="str">
        <f>IF(MISUO[[#This Row],[الفرق بين الفعلي والمتوقع]]&gt;3,"سيئة",IF(MISUO[[#This Row],[الفرق بين الفعلي والمتوقع]]&gt;=0,"مقبولة","ممتازة"))</f>
        <v>سيئة</v>
      </c>
      <c r="U2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143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148</v>
      </c>
      <c r="C23" t="s">
        <v>41</v>
      </c>
      <c r="D23" t="s">
        <v>158</v>
      </c>
      <c r="E23" t="s">
        <v>3</v>
      </c>
      <c r="F23">
        <v>1</v>
      </c>
      <c r="G23" t="s">
        <v>184</v>
      </c>
      <c r="H23" t="s">
        <v>185</v>
      </c>
      <c r="I23"/>
      <c r="J23"/>
      <c r="K23"/>
      <c r="L23">
        <v>8849</v>
      </c>
      <c r="M23" t="s">
        <v>6</v>
      </c>
      <c r="N23" s="2">
        <v>45538</v>
      </c>
      <c r="O23" s="2">
        <v>45581</v>
      </c>
      <c r="P23" s="2"/>
      <c r="Q2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2" t="str">
        <f>IF(MISUO[[#This Row],[الفرق بين الفعلي والمتوقع]]&gt;3,"سيئة",IF(MISUO[[#This Row],[الفرق بين الفعلي والمتوقع]]&gt;=0,"مقبولة","ممتازة"))</f>
        <v>سيئة</v>
      </c>
      <c r="U2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149</v>
      </c>
      <c r="C24" t="s">
        <v>175</v>
      </c>
      <c r="D24" t="s">
        <v>158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192</v>
      </c>
      <c r="N24" s="2">
        <v>45539</v>
      </c>
      <c r="O24" s="2">
        <v>45553</v>
      </c>
      <c r="P24" s="2"/>
      <c r="Q2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2" t="str">
        <f>IF(MISUO[[#This Row],[الفرق بين الفعلي والمتوقع]]&gt;3,"سيئة",IF(MISUO[[#This Row],[الفرق بين الفعلي والمتوقع]]&gt;=0,"مقبولة","ممتازة"))</f>
        <v>سيئة</v>
      </c>
      <c r="U2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149</v>
      </c>
      <c r="C25" t="s">
        <v>178</v>
      </c>
      <c r="D25" t="s">
        <v>178</v>
      </c>
      <c r="E25" t="s">
        <v>11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192</v>
      </c>
      <c r="N25" s="2">
        <v>45536</v>
      </c>
      <c r="O25" s="2">
        <v>45554</v>
      </c>
      <c r="P25" s="2">
        <v>45556</v>
      </c>
      <c r="Q2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143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148</v>
      </c>
      <c r="C26" t="s">
        <v>155</v>
      </c>
      <c r="D26" t="s">
        <v>156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192</v>
      </c>
      <c r="N26" s="2">
        <v>45520</v>
      </c>
      <c r="O26" s="2">
        <v>45535</v>
      </c>
      <c r="P26" s="2"/>
      <c r="Q2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2" t="str">
        <f>IF(MISUO[[#This Row],[الفرق بين الفعلي والمتوقع]]&gt;3,"سيئة",IF(MISUO[[#This Row],[الفرق بين الفعلي والمتوقع]]&gt;=0,"مقبولة","ممتازة"))</f>
        <v>سيئة</v>
      </c>
      <c r="U26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149</v>
      </c>
      <c r="C27" t="s">
        <v>162</v>
      </c>
      <c r="D27" t="s">
        <v>163</v>
      </c>
      <c r="E27" t="s">
        <v>146</v>
      </c>
      <c r="F27">
        <v>2</v>
      </c>
      <c r="G27" t="s">
        <v>63</v>
      </c>
      <c r="H27" t="s">
        <v>181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2">
        <v>45547</v>
      </c>
      <c r="O27" s="2">
        <v>45556</v>
      </c>
      <c r="P27" s="2">
        <v>45557</v>
      </c>
      <c r="Q2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143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149</v>
      </c>
      <c r="C28" t="s">
        <v>162</v>
      </c>
      <c r="D28" t="s">
        <v>163</v>
      </c>
      <c r="E28" t="s">
        <v>146</v>
      </c>
      <c r="F28">
        <v>2</v>
      </c>
      <c r="G28" t="s">
        <v>63</v>
      </c>
      <c r="H28" t="s">
        <v>181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2">
        <v>45547</v>
      </c>
      <c r="O28" s="2">
        <v>45556</v>
      </c>
      <c r="P28" s="2">
        <v>45557</v>
      </c>
      <c r="Q2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143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148</v>
      </c>
      <c r="C29" t="s">
        <v>174</v>
      </c>
      <c r="D29" t="s">
        <v>158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192</v>
      </c>
      <c r="N29" s="2">
        <v>45536</v>
      </c>
      <c r="O29" s="2">
        <v>45551</v>
      </c>
      <c r="P29" s="2">
        <v>45543</v>
      </c>
      <c r="Q2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4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202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148</v>
      </c>
      <c r="C30" t="s">
        <v>165</v>
      </c>
      <c r="D30" t="s">
        <v>166</v>
      </c>
      <c r="E30" t="s">
        <v>3</v>
      </c>
      <c r="F30">
        <v>1</v>
      </c>
      <c r="G30" t="s">
        <v>184</v>
      </c>
      <c r="H30" t="s">
        <v>185</v>
      </c>
      <c r="I30"/>
      <c r="J30"/>
      <c r="K30"/>
      <c r="L30">
        <v>8349</v>
      </c>
      <c r="M30" t="s">
        <v>6</v>
      </c>
      <c r="N30" s="2">
        <v>45549</v>
      </c>
      <c r="O30" s="2">
        <v>45557</v>
      </c>
      <c r="P30" s="2">
        <v>45559</v>
      </c>
      <c r="Q3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202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148</v>
      </c>
      <c r="C31" t="s">
        <v>178</v>
      </c>
      <c r="D31" t="s">
        <v>178</v>
      </c>
      <c r="E31" t="s">
        <v>3</v>
      </c>
      <c r="F31">
        <v>1</v>
      </c>
      <c r="G31" t="s">
        <v>63</v>
      </c>
      <c r="H31" t="s">
        <v>181</v>
      </c>
      <c r="I31"/>
      <c r="J31"/>
      <c r="K31"/>
      <c r="L31">
        <v>7228</v>
      </c>
      <c r="M31" t="s">
        <v>6</v>
      </c>
      <c r="N31" s="2">
        <v>45529</v>
      </c>
      <c r="O31" s="2">
        <v>45538</v>
      </c>
      <c r="P31" s="2">
        <v>45545</v>
      </c>
      <c r="Q3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4" t="str">
        <f>IF(MISUO[[#This Row],[الفرق بين الفعلي والمتوقع]]&gt;3,"سيئة",IF(MISUO[[#This Row],[الفرق بين الفعلي والمتوقع]]&gt;=0,"مقبولة","ممتازة"))</f>
        <v>سيئة</v>
      </c>
      <c r="U3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202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148</v>
      </c>
      <c r="C32" t="s">
        <v>167</v>
      </c>
      <c r="D32" t="s">
        <v>158</v>
      </c>
      <c r="E32" t="s">
        <v>3</v>
      </c>
      <c r="F32">
        <v>1</v>
      </c>
      <c r="G32" t="s">
        <v>184</v>
      </c>
      <c r="H32" t="s">
        <v>185</v>
      </c>
      <c r="I32"/>
      <c r="J32"/>
      <c r="K32"/>
      <c r="L32">
        <v>7928</v>
      </c>
      <c r="M32" t="s">
        <v>192</v>
      </c>
      <c r="N32" s="2">
        <v>45547</v>
      </c>
      <c r="O32" s="2">
        <v>45561</v>
      </c>
      <c r="P32" s="2"/>
      <c r="Q3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4" t="str">
        <f>IF(MISUO[[#This Row],[الفرق بين الفعلي والمتوقع]]&gt;3,"سيئة",IF(MISUO[[#This Row],[الفرق بين الفعلي والمتوقع]]&gt;=0,"مقبولة","ممتازة"))</f>
        <v>سيئة</v>
      </c>
      <c r="U3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202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148</v>
      </c>
      <c r="C33" t="s">
        <v>159</v>
      </c>
      <c r="D33" t="s">
        <v>152</v>
      </c>
      <c r="E33" t="s">
        <v>3</v>
      </c>
      <c r="F33">
        <v>1</v>
      </c>
      <c r="G33" t="s">
        <v>63</v>
      </c>
      <c r="H33" t="s">
        <v>181</v>
      </c>
      <c r="I33" t="s">
        <v>182</v>
      </c>
      <c r="J33">
        <v>120</v>
      </c>
      <c r="K33"/>
      <c r="L33">
        <v>10987</v>
      </c>
      <c r="M33" t="s">
        <v>6</v>
      </c>
      <c r="N33" s="2">
        <v>45544</v>
      </c>
      <c r="O33" s="2">
        <v>45552</v>
      </c>
      <c r="P33" s="2">
        <v>45556</v>
      </c>
      <c r="Q3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143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148</v>
      </c>
      <c r="C34" t="s">
        <v>159</v>
      </c>
      <c r="D34" t="s">
        <v>152</v>
      </c>
      <c r="E34" t="s">
        <v>3</v>
      </c>
      <c r="F34">
        <v>1</v>
      </c>
      <c r="G34" t="s">
        <v>63</v>
      </c>
      <c r="H34" t="s">
        <v>181</v>
      </c>
      <c r="I34" t="s">
        <v>65</v>
      </c>
      <c r="J34">
        <v>80</v>
      </c>
      <c r="K34" t="s">
        <v>74</v>
      </c>
      <c r="L34">
        <v>7295</v>
      </c>
      <c r="M34" t="s">
        <v>192</v>
      </c>
      <c r="N34" s="2">
        <v>45540</v>
      </c>
      <c r="O34" s="2">
        <v>45549</v>
      </c>
      <c r="P34" s="2"/>
      <c r="Q3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2" t="str">
        <f>IF(MISUO[[#This Row],[الفرق بين الفعلي والمتوقع]]&gt;3,"سيئة",IF(MISUO[[#This Row],[الفرق بين الفعلي والمتوقع]]&gt;=0,"مقبولة","ممتازة"))</f>
        <v>سيئة</v>
      </c>
      <c r="U3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148</v>
      </c>
      <c r="C35" t="s">
        <v>161</v>
      </c>
      <c r="D35" t="s">
        <v>158</v>
      </c>
      <c r="E35" t="s">
        <v>3</v>
      </c>
      <c r="F35">
        <v>1</v>
      </c>
      <c r="G35" t="s">
        <v>63</v>
      </c>
      <c r="H35" t="s">
        <v>181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2">
        <v>45548</v>
      </c>
      <c r="O35" s="2">
        <v>45561</v>
      </c>
      <c r="P35" s="2">
        <v>45568</v>
      </c>
      <c r="Q3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4" t="str">
        <f>IF(MISUO[[#This Row],[الفرق بين الفعلي والمتوقع]]&gt;3,"سيئة",IF(MISUO[[#This Row],[الفرق بين الفعلي والمتوقع]]&gt;=0,"مقبولة","ممتازة"))</f>
        <v>سيئة</v>
      </c>
      <c r="U3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143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148</v>
      </c>
      <c r="C36" t="s">
        <v>159</v>
      </c>
      <c r="D36" t="s">
        <v>152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183</v>
      </c>
      <c r="L36">
        <v>12999</v>
      </c>
      <c r="M36" t="s">
        <v>6</v>
      </c>
      <c r="N36" s="2">
        <v>45549</v>
      </c>
      <c r="O36" s="2">
        <v>45562</v>
      </c>
      <c r="P36" s="2">
        <v>45567</v>
      </c>
      <c r="Q3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4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4" t="str">
        <f>IF(MISUO[[#This Row],[الفرق بين الفعلي والمتوقع]]&gt;3,"سيئة",IF(MISUO[[#This Row],[الفرق بين الفعلي والمتوقع]]&gt;=0,"مقبولة","ممتازة"))</f>
        <v>سيئة</v>
      </c>
      <c r="U3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143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148</v>
      </c>
      <c r="C37" t="s">
        <v>178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183</v>
      </c>
      <c r="L37">
        <v>12999</v>
      </c>
      <c r="M37" t="s">
        <v>6</v>
      </c>
      <c r="N37" s="2">
        <v>45549</v>
      </c>
      <c r="O37" s="2">
        <v>45616</v>
      </c>
      <c r="P37" s="2">
        <v>45582</v>
      </c>
      <c r="Q3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4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202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148</v>
      </c>
      <c r="C38" t="s">
        <v>169</v>
      </c>
      <c r="D38" t="s">
        <v>152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192</v>
      </c>
      <c r="N38" s="2">
        <v>45547</v>
      </c>
      <c r="O38" s="2">
        <v>45564</v>
      </c>
      <c r="P38" s="2">
        <v>45567</v>
      </c>
      <c r="Q3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143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148</v>
      </c>
      <c r="C39" t="s">
        <v>169</v>
      </c>
      <c r="D39" t="s">
        <v>152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192</v>
      </c>
      <c r="N39" s="2">
        <v>45547</v>
      </c>
      <c r="O39" s="2">
        <v>45564</v>
      </c>
      <c r="P39" s="2">
        <v>45567</v>
      </c>
      <c r="Q3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143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148</v>
      </c>
      <c r="C40" t="s">
        <v>178</v>
      </c>
      <c r="D40" t="s">
        <v>157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2">
        <v>45548</v>
      </c>
      <c r="O40" s="2">
        <v>45565</v>
      </c>
      <c r="P40" s="2">
        <v>45581</v>
      </c>
      <c r="Q4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4" t="str">
        <f>IF(MISUO[[#This Row],[الفرق بين الفعلي والمتوقع]]&gt;3,"سيئة",IF(MISUO[[#This Row],[الفرق بين الفعلي والمتوقع]]&gt;=0,"مقبولة","ممتازة"))</f>
        <v>سيئة</v>
      </c>
      <c r="U4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202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148</v>
      </c>
      <c r="C41" t="s">
        <v>159</v>
      </c>
      <c r="D41" t="s">
        <v>152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2">
        <v>45548</v>
      </c>
      <c r="O41" s="2">
        <v>45565</v>
      </c>
      <c r="P41" s="2">
        <v>45580</v>
      </c>
      <c r="Q4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4" t="str">
        <f>IF(MISUO[[#This Row],[الفرق بين الفعلي والمتوقع]]&gt;3,"سيئة",IF(MISUO[[#This Row],[الفرق بين الفعلي والمتوقع]]&gt;=0,"مقبولة","ممتازة"))</f>
        <v>سيئة</v>
      </c>
      <c r="U4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143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148</v>
      </c>
      <c r="C42" t="s">
        <v>159</v>
      </c>
      <c r="D42" t="s">
        <v>152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2">
        <v>45548</v>
      </c>
      <c r="O42" s="2">
        <v>45565</v>
      </c>
      <c r="P42" s="2">
        <v>45585</v>
      </c>
      <c r="Q4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4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4" t="str">
        <f>IF(MISUO[[#This Row],[الفرق بين الفعلي والمتوقع]]&gt;3,"سيئة",IF(MISUO[[#This Row],[الفرق بين الفعلي والمتوقع]]&gt;=0,"مقبولة","ممتازة"))</f>
        <v>سيئة</v>
      </c>
      <c r="U4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143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148</v>
      </c>
      <c r="C43" t="s">
        <v>164</v>
      </c>
      <c r="D43" t="s">
        <v>95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2">
        <v>45549</v>
      </c>
      <c r="O43" s="2">
        <v>45557</v>
      </c>
      <c r="P43" s="2"/>
      <c r="Q4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2" t="str">
        <f>IF(MISUO[[#This Row],[الفرق بين الفعلي والمتوقع]]&gt;3,"سيئة",IF(MISUO[[#This Row],[الفرق بين الفعلي والمتوقع]]&gt;=0,"مقبولة","ممتازة"))</f>
        <v>سيئة</v>
      </c>
      <c r="U4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148</v>
      </c>
      <c r="C44" t="s">
        <v>161</v>
      </c>
      <c r="D44" t="s">
        <v>158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2">
        <v>45548</v>
      </c>
      <c r="O44" s="2">
        <v>45565</v>
      </c>
      <c r="P44" s="2"/>
      <c r="Q4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4" t="str">
        <f>IF(MISUO[[#This Row],[الفرق بين الفعلي والمتوقع]]&gt;3,"سيئة",IF(MISUO[[#This Row],[الفرق بين الفعلي والمتوقع]]&gt;=0,"مقبولة","ممتازة"))</f>
        <v>سيئة</v>
      </c>
      <c r="U4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143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148</v>
      </c>
      <c r="C45" t="s">
        <v>159</v>
      </c>
      <c r="D45" t="s">
        <v>152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2">
        <v>45548</v>
      </c>
      <c r="O45" s="2">
        <v>45559</v>
      </c>
      <c r="P45" s="2">
        <v>45565</v>
      </c>
      <c r="Q4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4" t="str">
        <f>IF(MISUO[[#This Row],[الفرق بين الفعلي والمتوقع]]&gt;3,"سيئة",IF(MISUO[[#This Row],[الفرق بين الفعلي والمتوقع]]&gt;=0,"مقبولة","ممتازة"))</f>
        <v>سيئة</v>
      </c>
      <c r="U4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202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148</v>
      </c>
      <c r="C46" t="s">
        <v>159</v>
      </c>
      <c r="D46" t="s">
        <v>152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2">
        <v>45549</v>
      </c>
      <c r="O46" s="2">
        <v>45594</v>
      </c>
      <c r="P46" s="2">
        <v>45580</v>
      </c>
      <c r="Q4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143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148</v>
      </c>
      <c r="C47" t="s">
        <v>177</v>
      </c>
      <c r="D47" t="s">
        <v>152</v>
      </c>
      <c r="E47" t="s">
        <v>3</v>
      </c>
      <c r="F47">
        <v>1</v>
      </c>
      <c r="G47" t="s">
        <v>184</v>
      </c>
      <c r="H47" t="s">
        <v>185</v>
      </c>
      <c r="I47"/>
      <c r="J47"/>
      <c r="K47"/>
      <c r="L47">
        <v>8349</v>
      </c>
      <c r="M47" t="s">
        <v>6</v>
      </c>
      <c r="N47" s="2">
        <v>45549</v>
      </c>
      <c r="O47" s="2">
        <v>45581</v>
      </c>
      <c r="P47" s="2">
        <v>45586</v>
      </c>
      <c r="Q4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4" t="str">
        <f>IF(MISUO[[#This Row],[الفرق بين الفعلي والمتوقع]]&gt;3,"سيئة",IF(MISUO[[#This Row],[الفرق بين الفعلي والمتوقع]]&gt;=0,"مقبولة","ممتازة"))</f>
        <v>سيئة</v>
      </c>
      <c r="U4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143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148</v>
      </c>
      <c r="C48" t="s">
        <v>23</v>
      </c>
      <c r="D48" t="s">
        <v>158</v>
      </c>
      <c r="E48" t="s">
        <v>3</v>
      </c>
      <c r="F48">
        <v>1</v>
      </c>
      <c r="G48" t="s">
        <v>184</v>
      </c>
      <c r="H48" t="s">
        <v>185</v>
      </c>
      <c r="I48"/>
      <c r="J48"/>
      <c r="K48"/>
      <c r="L48">
        <v>7849</v>
      </c>
      <c r="M48" t="s">
        <v>6</v>
      </c>
      <c r="N48" s="2">
        <v>45549</v>
      </c>
      <c r="O48" s="2">
        <v>45594</v>
      </c>
      <c r="P48" s="2">
        <v>45595</v>
      </c>
      <c r="Q4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4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143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148</v>
      </c>
      <c r="C49" t="s">
        <v>154</v>
      </c>
      <c r="D49" t="s">
        <v>166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192</v>
      </c>
      <c r="N49" s="2">
        <v>45501</v>
      </c>
      <c r="O49" s="2"/>
      <c r="P49" s="2">
        <v>45515</v>
      </c>
      <c r="Q49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4" t="str">
        <f>IF(MISUO[[#This Row],[الفرق بين الفعلي والمتوقع]]&gt;3,"سيئة",IF(MISUO[[#This Row],[الفرق بين الفعلي والمتوقع]]&gt;=0,"مقبولة","ممتازة"))</f>
        <v>سيئة</v>
      </c>
      <c r="U4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202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148</v>
      </c>
      <c r="C50" t="s">
        <v>153</v>
      </c>
      <c r="D50" t="s">
        <v>152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2">
        <v>45500</v>
      </c>
      <c r="O50" s="2"/>
      <c r="P50" s="2">
        <v>45514</v>
      </c>
      <c r="Q50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4" t="str">
        <f>IF(MISUO[[#This Row],[الفرق بين الفعلي والمتوقع]]&gt;3,"سيئة",IF(MISUO[[#This Row],[الفرق بين الفعلي والمتوقع]]&gt;=0,"مقبولة","ممتازة"))</f>
        <v>سيئة</v>
      </c>
      <c r="U5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202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149</v>
      </c>
      <c r="C51" t="s">
        <v>32</v>
      </c>
      <c r="D51" t="s">
        <v>158</v>
      </c>
      <c r="E51" t="s">
        <v>3</v>
      </c>
      <c r="F51">
        <v>1</v>
      </c>
      <c r="G51" t="s">
        <v>184</v>
      </c>
      <c r="H51" t="s">
        <v>185</v>
      </c>
      <c r="I51"/>
      <c r="J51"/>
      <c r="K51"/>
      <c r="L51">
        <v>8349</v>
      </c>
      <c r="M51" t="s">
        <v>6</v>
      </c>
      <c r="N51" s="2">
        <v>45549</v>
      </c>
      <c r="O51" s="2">
        <v>45594</v>
      </c>
      <c r="P51" s="2">
        <v>45584</v>
      </c>
      <c r="Q5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143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148</v>
      </c>
      <c r="C52" t="s">
        <v>53</v>
      </c>
      <c r="D52" t="s">
        <v>158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2">
        <v>45549</v>
      </c>
      <c r="O52" s="2">
        <v>45594</v>
      </c>
      <c r="P52" s="2"/>
      <c r="Q5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2" t="str">
        <f>IF(MISUO[[#This Row],[الفرق بين الفعلي والمتوقع]]&gt;3,"سيئة",IF(MISUO[[#This Row],[الفرق بين الفعلي والمتوقع]]&gt;=0,"مقبولة","ممتازة"))</f>
        <v>سيئة</v>
      </c>
      <c r="U5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148</v>
      </c>
      <c r="C53" t="s">
        <v>53</v>
      </c>
      <c r="D53" t="s">
        <v>158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2">
        <v>45549</v>
      </c>
      <c r="O53" s="2">
        <v>45594</v>
      </c>
      <c r="P53" s="2"/>
      <c r="Q5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2" t="str">
        <f>IF(MISUO[[#This Row],[الفرق بين الفعلي والمتوقع]]&gt;3,"سيئة",IF(MISUO[[#This Row],[الفرق بين الفعلي والمتوقع]]&gt;=0,"مقبولة","ممتازة"))</f>
        <v>سيئة</v>
      </c>
      <c r="U5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148</v>
      </c>
      <c r="C54" t="s">
        <v>161</v>
      </c>
      <c r="D54" t="s">
        <v>158</v>
      </c>
      <c r="E54" t="s">
        <v>3</v>
      </c>
      <c r="F54">
        <v>2</v>
      </c>
      <c r="G54" t="s">
        <v>63</v>
      </c>
      <c r="H54" t="s">
        <v>181</v>
      </c>
      <c r="I54" t="s">
        <v>182</v>
      </c>
      <c r="J54">
        <v>120</v>
      </c>
      <c r="K54" t="s">
        <v>74</v>
      </c>
      <c r="L54">
        <v>10987</v>
      </c>
      <c r="M54" t="s">
        <v>6</v>
      </c>
      <c r="N54" s="2">
        <v>45549</v>
      </c>
      <c r="O54" s="2">
        <v>45594</v>
      </c>
      <c r="P54" s="2">
        <v>45578</v>
      </c>
      <c r="Q5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143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148</v>
      </c>
      <c r="C55" t="s">
        <v>161</v>
      </c>
      <c r="D55" t="s">
        <v>158</v>
      </c>
      <c r="E55" t="s">
        <v>3</v>
      </c>
      <c r="F55">
        <v>2</v>
      </c>
      <c r="G55" t="s">
        <v>63</v>
      </c>
      <c r="H55" t="s">
        <v>181</v>
      </c>
      <c r="I55" t="s">
        <v>182</v>
      </c>
      <c r="J55">
        <v>120</v>
      </c>
      <c r="K55" t="s">
        <v>74</v>
      </c>
      <c r="L55">
        <v>10987</v>
      </c>
      <c r="M55" t="s">
        <v>6</v>
      </c>
      <c r="N55" s="2">
        <v>45549</v>
      </c>
      <c r="O55" s="2">
        <v>45594</v>
      </c>
      <c r="P55" s="2">
        <v>45578</v>
      </c>
      <c r="Q5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143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148</v>
      </c>
      <c r="C56" t="s">
        <v>57</v>
      </c>
      <c r="D56" t="s">
        <v>163</v>
      </c>
      <c r="E56" t="s">
        <v>3</v>
      </c>
      <c r="F56">
        <v>1</v>
      </c>
      <c r="G56" t="s">
        <v>184</v>
      </c>
      <c r="H56" t="s">
        <v>185</v>
      </c>
      <c r="I56"/>
      <c r="J56"/>
      <c r="K56"/>
      <c r="L56">
        <v>10319</v>
      </c>
      <c r="M56" t="s">
        <v>6</v>
      </c>
      <c r="N56" s="2">
        <v>45549</v>
      </c>
      <c r="O56" s="2">
        <v>45594</v>
      </c>
      <c r="P56" s="2">
        <v>45584</v>
      </c>
      <c r="Q5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143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148</v>
      </c>
      <c r="C57" t="s">
        <v>32</v>
      </c>
      <c r="D57" t="s">
        <v>158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2">
        <v>45547</v>
      </c>
      <c r="O57" s="2">
        <v>45564</v>
      </c>
      <c r="P57" s="2"/>
      <c r="Q5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4" t="str">
        <f>IF(MISUO[[#This Row],[الفرق بين الفعلي والمتوقع]]&gt;3,"سيئة",IF(MISUO[[#This Row],[الفرق بين الفعلي والمتوقع]]&gt;=0,"مقبولة","ممتازة"))</f>
        <v>سيئة</v>
      </c>
      <c r="U5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145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148</v>
      </c>
      <c r="C58" t="s">
        <v>178</v>
      </c>
      <c r="D58" t="s">
        <v>157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2">
        <v>45549</v>
      </c>
      <c r="O58" s="2">
        <v>45616</v>
      </c>
      <c r="P58" s="2"/>
      <c r="Q5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2" t="str">
        <f>IF(MISUO[[#This Row],[الفرق بين الفعلي والمتوقع]]&gt;3,"سيئة",IF(MISUO[[#This Row],[الفرق بين الفعلي والمتوقع]]&gt;=0,"مقبولة","ممتازة"))</f>
        <v>سيئة</v>
      </c>
      <c r="U58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148</v>
      </c>
      <c r="C59" t="s">
        <v>32</v>
      </c>
      <c r="D59" t="s">
        <v>158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183</v>
      </c>
      <c r="L59">
        <v>12399</v>
      </c>
      <c r="M59" t="s">
        <v>6</v>
      </c>
      <c r="N59" s="2">
        <v>45549</v>
      </c>
      <c r="O59" s="2">
        <v>45616</v>
      </c>
      <c r="P59" s="2">
        <v>45566</v>
      </c>
      <c r="Q5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4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202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148</v>
      </c>
      <c r="C60" t="s">
        <v>161</v>
      </c>
      <c r="D60" t="s">
        <v>158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2">
        <v>45549</v>
      </c>
      <c r="O60" s="2">
        <v>45616</v>
      </c>
      <c r="P60" s="2">
        <v>45574</v>
      </c>
      <c r="Q6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4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143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148</v>
      </c>
      <c r="C61" t="s">
        <v>23</v>
      </c>
      <c r="D61" t="s">
        <v>158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2">
        <v>45549</v>
      </c>
      <c r="O61" s="2">
        <v>45616</v>
      </c>
      <c r="P61" s="2">
        <v>45581</v>
      </c>
      <c r="Q6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143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148</v>
      </c>
      <c r="C62" t="s">
        <v>41</v>
      </c>
      <c r="D62" t="s">
        <v>158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2">
        <v>45550</v>
      </c>
      <c r="O62" s="2">
        <v>45616</v>
      </c>
      <c r="P62" s="2">
        <v>45581</v>
      </c>
      <c r="Q6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143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148</v>
      </c>
      <c r="C63" t="s">
        <v>41</v>
      </c>
      <c r="D63" t="s">
        <v>158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2">
        <v>45550</v>
      </c>
      <c r="O63" s="2">
        <v>45616</v>
      </c>
      <c r="P63" s="2">
        <v>45581</v>
      </c>
      <c r="Q6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143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148</v>
      </c>
      <c r="C64" t="s">
        <v>170</v>
      </c>
      <c r="D64" t="s">
        <v>158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2">
        <v>45550</v>
      </c>
      <c r="O64" s="2">
        <v>45616</v>
      </c>
      <c r="P64" s="2">
        <v>45584</v>
      </c>
      <c r="Q6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4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4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143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148</v>
      </c>
      <c r="C65" t="s">
        <v>164</v>
      </c>
      <c r="D65" t="s">
        <v>95</v>
      </c>
      <c r="E65" t="s">
        <v>3</v>
      </c>
      <c r="F65">
        <v>1</v>
      </c>
      <c r="G65" t="s">
        <v>184</v>
      </c>
      <c r="H65" t="s">
        <v>73</v>
      </c>
      <c r="I65"/>
      <c r="J65"/>
      <c r="K65"/>
      <c r="L65">
        <v>7849</v>
      </c>
      <c r="M65" t="s">
        <v>192</v>
      </c>
      <c r="N65" s="2">
        <v>45551</v>
      </c>
      <c r="O65" s="2">
        <v>45595</v>
      </c>
      <c r="P65" s="2">
        <v>45610</v>
      </c>
      <c r="Q6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4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4" t="str">
        <f>IF(MISUO[[#This Row],[الفرق بين الفعلي والمتوقع]]&gt;3,"سيئة",IF(MISUO[[#This Row],[الفرق بين الفعلي والمتوقع]]&gt;=0,"مقبولة","ممتازة"))</f>
        <v>سيئة</v>
      </c>
      <c r="U6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202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149</v>
      </c>
      <c r="C66" t="s">
        <v>179</v>
      </c>
      <c r="D66" t="s">
        <v>152</v>
      </c>
      <c r="E66" t="s">
        <v>146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2">
        <v>45556</v>
      </c>
      <c r="O66" s="2">
        <v>45570</v>
      </c>
      <c r="P66" s="2">
        <v>45577</v>
      </c>
      <c r="Q6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143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149</v>
      </c>
      <c r="C67" t="s">
        <v>160</v>
      </c>
      <c r="D67" t="s">
        <v>158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2">
        <v>45558</v>
      </c>
      <c r="O67" s="2">
        <v>45573</v>
      </c>
      <c r="P67" s="2">
        <v>45582</v>
      </c>
      <c r="Q6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4" t="str">
        <f>IF(MISUO[[#This Row],[الفرق بين الفعلي والمتوقع]]&gt;3,"سيئة",IF(MISUO[[#This Row],[الفرق بين الفعلي والمتوقع]]&gt;=0,"مقبولة","ممتازة"))</f>
        <v>سيئة</v>
      </c>
      <c r="U6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143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148</v>
      </c>
      <c r="C68" t="s">
        <v>160</v>
      </c>
      <c r="D68" t="s">
        <v>158</v>
      </c>
      <c r="E68" t="s">
        <v>3</v>
      </c>
      <c r="F68">
        <v>1</v>
      </c>
      <c r="G68" t="s">
        <v>63</v>
      </c>
      <c r="H68" t="s">
        <v>181</v>
      </c>
      <c r="I68" t="s">
        <v>82</v>
      </c>
      <c r="J68">
        <v>120</v>
      </c>
      <c r="K68" t="s">
        <v>74</v>
      </c>
      <c r="L68">
        <v>8943</v>
      </c>
      <c r="M68" t="s">
        <v>192</v>
      </c>
      <c r="N68" s="2">
        <v>45561</v>
      </c>
      <c r="O68" s="2">
        <v>45606</v>
      </c>
      <c r="P68" s="2">
        <v>45575</v>
      </c>
      <c r="Q6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4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143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148</v>
      </c>
      <c r="C69" t="s">
        <v>159</v>
      </c>
      <c r="D69" t="s">
        <v>152</v>
      </c>
      <c r="E69" t="s">
        <v>3</v>
      </c>
      <c r="F69">
        <v>1</v>
      </c>
      <c r="G69" t="s">
        <v>184</v>
      </c>
      <c r="H69" t="s">
        <v>185</v>
      </c>
      <c r="I69"/>
      <c r="J69"/>
      <c r="K69"/>
      <c r="L69">
        <v>8433</v>
      </c>
      <c r="M69" t="s">
        <v>192</v>
      </c>
      <c r="N69" s="2">
        <v>45561</v>
      </c>
      <c r="O69" s="2">
        <v>45606</v>
      </c>
      <c r="P69" s="2"/>
      <c r="Q6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2" t="str">
        <f>IF(MISUO[[#This Row],[الفرق بين الفعلي والمتوقع]]&gt;3,"سيئة",IF(MISUO[[#This Row],[الفرق بين الفعلي والمتوقع]]&gt;=0,"مقبولة","ممتازة"))</f>
        <v>سيئة</v>
      </c>
      <c r="U69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149</v>
      </c>
      <c r="C70" t="s">
        <v>20</v>
      </c>
      <c r="D70" t="s">
        <v>158</v>
      </c>
      <c r="E70" t="s">
        <v>11</v>
      </c>
      <c r="F70">
        <v>1</v>
      </c>
      <c r="G70" t="s">
        <v>71</v>
      </c>
      <c r="H70" t="s">
        <v>72</v>
      </c>
      <c r="I70"/>
      <c r="J70"/>
      <c r="K70" t="s">
        <v>98</v>
      </c>
      <c r="L70">
        <v>14950</v>
      </c>
      <c r="M70" t="s">
        <v>6</v>
      </c>
      <c r="N70" s="2">
        <v>45561</v>
      </c>
      <c r="O70" s="2">
        <v>45579</v>
      </c>
      <c r="P70" s="2">
        <v>45578</v>
      </c>
      <c r="Q7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143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149</v>
      </c>
      <c r="C71" t="s">
        <v>178</v>
      </c>
      <c r="D71" t="s">
        <v>178</v>
      </c>
      <c r="E71" t="s">
        <v>11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75</v>
      </c>
      <c r="L71">
        <v>9608</v>
      </c>
      <c r="M71" t="s">
        <v>192</v>
      </c>
      <c r="N71" s="2">
        <v>45561</v>
      </c>
      <c r="O71" s="2">
        <v>45579</v>
      </c>
      <c r="P71" s="2"/>
      <c r="Q7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2" t="str">
        <f>IF(MISUO[[#This Row],[الفرق بين الفعلي والمتوقع]]&gt;3,"سيئة",IF(MISUO[[#This Row],[الفرق بين الفعلي والمتوقع]]&gt;=0,"مقبولة","ممتازة"))</f>
        <v>سيئة</v>
      </c>
      <c r="U7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149</v>
      </c>
      <c r="C72" t="s">
        <v>178</v>
      </c>
      <c r="D72" t="s">
        <v>178</v>
      </c>
      <c r="E72" t="s">
        <v>11</v>
      </c>
      <c r="F72">
        <v>1</v>
      </c>
      <c r="G72" t="s">
        <v>63</v>
      </c>
      <c r="H72" t="s">
        <v>181</v>
      </c>
      <c r="I72" t="s">
        <v>182</v>
      </c>
      <c r="J72">
        <v>120</v>
      </c>
      <c r="K72" t="s">
        <v>74</v>
      </c>
      <c r="L72">
        <v>7433</v>
      </c>
      <c r="M72" t="s">
        <v>6</v>
      </c>
      <c r="N72" s="2">
        <v>45564</v>
      </c>
      <c r="O72" s="2">
        <v>45585</v>
      </c>
      <c r="P72" s="2">
        <v>45586</v>
      </c>
      <c r="Q7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143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149</v>
      </c>
      <c r="C73" t="s">
        <v>179</v>
      </c>
      <c r="D73" t="s">
        <v>152</v>
      </c>
      <c r="E73" t="s">
        <v>146</v>
      </c>
      <c r="F73">
        <v>1</v>
      </c>
      <c r="G73" t="s">
        <v>63</v>
      </c>
      <c r="H73" t="s">
        <v>181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2">
        <v>45564</v>
      </c>
      <c r="O73" s="2">
        <v>45577</v>
      </c>
      <c r="P73" s="2">
        <v>45577</v>
      </c>
      <c r="Q7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143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94</v>
      </c>
      <c r="B74" t="s">
        <v>148</v>
      </c>
      <c r="C74" t="s">
        <v>178</v>
      </c>
      <c r="D74" t="s">
        <v>95</v>
      </c>
      <c r="E74" t="s">
        <v>95</v>
      </c>
      <c r="F74">
        <v>1</v>
      </c>
      <c r="G74" t="s">
        <v>63</v>
      </c>
      <c r="H74" t="s">
        <v>73</v>
      </c>
      <c r="I74" t="s">
        <v>109</v>
      </c>
      <c r="J74">
        <v>100</v>
      </c>
      <c r="K74"/>
      <c r="L74">
        <v>9608</v>
      </c>
      <c r="M74"/>
      <c r="N74" s="2">
        <v>45566</v>
      </c>
      <c r="O74" s="2">
        <v>45574</v>
      </c>
      <c r="P74" s="2">
        <v>45574</v>
      </c>
      <c r="Q7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101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94</v>
      </c>
      <c r="B75" t="s">
        <v>148</v>
      </c>
      <c r="C75" t="s">
        <v>178</v>
      </c>
      <c r="D75" t="s">
        <v>95</v>
      </c>
      <c r="E75" t="s">
        <v>95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2">
        <v>45566</v>
      </c>
      <c r="O75" s="2">
        <v>45574</v>
      </c>
      <c r="P75" s="2">
        <v>45574</v>
      </c>
      <c r="Q7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101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94</v>
      </c>
      <c r="B76" t="s">
        <v>148</v>
      </c>
      <c r="C76" t="s">
        <v>178</v>
      </c>
      <c r="D76" t="s">
        <v>95</v>
      </c>
      <c r="E76" t="s">
        <v>95</v>
      </c>
      <c r="F76">
        <v>1</v>
      </c>
      <c r="G76" t="s">
        <v>71</v>
      </c>
      <c r="H76"/>
      <c r="I76" t="s">
        <v>96</v>
      </c>
      <c r="J76"/>
      <c r="K76" t="s">
        <v>75</v>
      </c>
      <c r="L76">
        <v>10000</v>
      </c>
      <c r="M76"/>
      <c r="N76" s="2">
        <v>45566</v>
      </c>
      <c r="O76" s="2">
        <v>45574</v>
      </c>
      <c r="P76" s="2">
        <v>45574</v>
      </c>
      <c r="Q7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101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94</v>
      </c>
      <c r="B77" t="s">
        <v>148</v>
      </c>
      <c r="C77" t="s">
        <v>178</v>
      </c>
      <c r="D77" t="s">
        <v>95</v>
      </c>
      <c r="E77" t="s">
        <v>95</v>
      </c>
      <c r="F77">
        <v>1</v>
      </c>
      <c r="G77" t="s">
        <v>97</v>
      </c>
      <c r="H77"/>
      <c r="I77"/>
      <c r="J77"/>
      <c r="K77" t="s">
        <v>75</v>
      </c>
      <c r="L77">
        <v>5500</v>
      </c>
      <c r="M77"/>
      <c r="N77" s="2">
        <v>45566</v>
      </c>
      <c r="O77" s="2">
        <v>45574</v>
      </c>
      <c r="P77" s="2">
        <v>45574</v>
      </c>
      <c r="Q7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101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99</v>
      </c>
      <c r="B78" t="s">
        <v>148</v>
      </c>
      <c r="C78" t="s">
        <v>100</v>
      </c>
      <c r="D78" t="s">
        <v>158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192</v>
      </c>
      <c r="N78" s="2">
        <v>45568</v>
      </c>
      <c r="O78" s="2">
        <v>45613</v>
      </c>
      <c r="P78" s="2"/>
      <c r="Q7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4" t="str">
        <f>IF(MISUO[[#This Row],[الفرق بين الفعلي والمتوقع]]&gt;3,"سيئة",IF(MISUO[[#This Row],[الفرق بين الفعلي والمتوقع]]&gt;=0,"مقبولة","ممتازة"))</f>
        <v>سيئة</v>
      </c>
      <c r="U7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145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149</v>
      </c>
      <c r="C79" t="s">
        <v>178</v>
      </c>
      <c r="D79" t="s">
        <v>178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2">
        <v>45573</v>
      </c>
      <c r="O79" s="2">
        <v>45594</v>
      </c>
      <c r="P79" s="2">
        <v>45595</v>
      </c>
      <c r="Q7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143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149</v>
      </c>
      <c r="C80" t="s">
        <v>159</v>
      </c>
      <c r="D80" t="s">
        <v>152</v>
      </c>
      <c r="E80" t="s">
        <v>11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2">
        <v>45572</v>
      </c>
      <c r="O80" s="2">
        <v>45594</v>
      </c>
      <c r="P80" s="2">
        <v>45580</v>
      </c>
      <c r="Q8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143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149</v>
      </c>
      <c r="C81" t="s">
        <v>178</v>
      </c>
      <c r="D81" t="s">
        <v>178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192</v>
      </c>
      <c r="N81" s="2">
        <v>45575</v>
      </c>
      <c r="O81" s="2">
        <v>45596</v>
      </c>
      <c r="P81" s="2">
        <v>45598</v>
      </c>
      <c r="Q8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143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102</v>
      </c>
      <c r="B82" t="s">
        <v>148</v>
      </c>
      <c r="C82" t="s">
        <v>161</v>
      </c>
      <c r="D82" t="s">
        <v>158</v>
      </c>
      <c r="E82" t="s">
        <v>3</v>
      </c>
      <c r="F82">
        <v>1</v>
      </c>
      <c r="G82" t="s">
        <v>63</v>
      </c>
      <c r="H82" t="s">
        <v>73</v>
      </c>
      <c r="I82" t="s">
        <v>103</v>
      </c>
      <c r="J82" t="s">
        <v>188</v>
      </c>
      <c r="K82" t="s">
        <v>189</v>
      </c>
      <c r="L82">
        <v>13028</v>
      </c>
      <c r="M82" t="s">
        <v>192</v>
      </c>
      <c r="N82" s="2">
        <v>45578</v>
      </c>
      <c r="O82" s="2">
        <v>45643</v>
      </c>
      <c r="P82" s="2">
        <v>45598</v>
      </c>
      <c r="Q8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4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143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104</v>
      </c>
      <c r="B83" t="s">
        <v>148</v>
      </c>
      <c r="C83" t="s">
        <v>174</v>
      </c>
      <c r="D83" t="s">
        <v>158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2">
        <v>45581</v>
      </c>
      <c r="O83" s="2">
        <v>45645</v>
      </c>
      <c r="P83" s="2">
        <v>45586</v>
      </c>
      <c r="Q8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4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143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105</v>
      </c>
      <c r="B84" t="s">
        <v>148</v>
      </c>
      <c r="C84" t="s">
        <v>171</v>
      </c>
      <c r="D84" t="s">
        <v>166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188</v>
      </c>
      <c r="K84" t="s">
        <v>189</v>
      </c>
      <c r="L84">
        <v>12899</v>
      </c>
      <c r="M84" t="s">
        <v>6</v>
      </c>
      <c r="N84" s="2">
        <v>45582</v>
      </c>
      <c r="O84" s="2">
        <v>45648</v>
      </c>
      <c r="P84" s="2">
        <v>45629</v>
      </c>
      <c r="Q8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4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202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106</v>
      </c>
      <c r="B85" t="s">
        <v>148</v>
      </c>
      <c r="C85" t="s">
        <v>20</v>
      </c>
      <c r="D85" t="s">
        <v>158</v>
      </c>
      <c r="E85" t="s">
        <v>107</v>
      </c>
      <c r="F85">
        <v>1</v>
      </c>
      <c r="G85" t="s">
        <v>63</v>
      </c>
      <c r="H85" t="s">
        <v>181</v>
      </c>
      <c r="I85" t="s">
        <v>108</v>
      </c>
      <c r="J85">
        <v>140</v>
      </c>
      <c r="K85" t="s">
        <v>98</v>
      </c>
      <c r="L85">
        <v>5135</v>
      </c>
      <c r="M85" t="s">
        <v>6</v>
      </c>
      <c r="N85" s="2">
        <v>45585</v>
      </c>
      <c r="O85" s="2">
        <v>45613</v>
      </c>
      <c r="P85" s="2">
        <v>45610</v>
      </c>
      <c r="Q8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143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149</v>
      </c>
      <c r="C86" t="s">
        <v>159</v>
      </c>
      <c r="D86" t="s">
        <v>152</v>
      </c>
      <c r="E86" t="s">
        <v>11</v>
      </c>
      <c r="F86">
        <v>1</v>
      </c>
      <c r="G86" t="s">
        <v>63</v>
      </c>
      <c r="H86" t="s">
        <v>73</v>
      </c>
      <c r="I86" t="s">
        <v>109</v>
      </c>
      <c r="J86">
        <v>100</v>
      </c>
      <c r="K86"/>
      <c r="L86">
        <v>12777.5</v>
      </c>
      <c r="M86" t="s">
        <v>192</v>
      </c>
      <c r="N86" s="2">
        <v>45587</v>
      </c>
      <c r="O86" s="2">
        <v>45608</v>
      </c>
      <c r="P86" s="2">
        <v>45614</v>
      </c>
      <c r="Q8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4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4" t="str">
        <f>IF(MISUO[[#This Row],[الفرق بين الفعلي والمتوقع]]&gt;3,"سيئة",IF(MISUO[[#This Row],[الفرق بين الفعلي والمتوقع]]&gt;=0,"مقبولة","ممتازة"))</f>
        <v>سيئة</v>
      </c>
      <c r="U8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143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149</v>
      </c>
      <c r="C87" t="s">
        <v>175</v>
      </c>
      <c r="D87" t="s">
        <v>158</v>
      </c>
      <c r="E87" t="s">
        <v>146</v>
      </c>
      <c r="F87">
        <v>1</v>
      </c>
      <c r="G87" t="s">
        <v>63</v>
      </c>
      <c r="H87" t="s">
        <v>73</v>
      </c>
      <c r="I87" t="s">
        <v>109</v>
      </c>
      <c r="J87">
        <v>100</v>
      </c>
      <c r="K87"/>
      <c r="L87">
        <v>8544.91</v>
      </c>
      <c r="M87" t="s">
        <v>31</v>
      </c>
      <c r="N87" s="2">
        <v>45587</v>
      </c>
      <c r="O87" s="2"/>
      <c r="P87" s="2"/>
      <c r="Q87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2" t="str">
        <f>IF(MISUO[[#This Row],[الفرق بين الفعلي والمتوقع]]&gt;3,"سيئة",IF(MISUO[[#This Row],[الفرق بين الفعلي والمتوقع]]&gt;=0,"مقبولة","ممتازة"))</f>
        <v>سيئة</v>
      </c>
      <c r="U87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110</v>
      </c>
      <c r="B88" t="s">
        <v>148</v>
      </c>
      <c r="C88" t="s">
        <v>159</v>
      </c>
      <c r="D88" t="s">
        <v>152</v>
      </c>
      <c r="E88" t="s">
        <v>3</v>
      </c>
      <c r="F88">
        <v>1</v>
      </c>
      <c r="G88" t="s">
        <v>63</v>
      </c>
      <c r="H88" t="s">
        <v>181</v>
      </c>
      <c r="I88" t="s">
        <v>82</v>
      </c>
      <c r="J88">
        <v>120</v>
      </c>
      <c r="K88" t="s">
        <v>74</v>
      </c>
      <c r="L88">
        <v>9007</v>
      </c>
      <c r="M88" t="s">
        <v>192</v>
      </c>
      <c r="N88" s="2">
        <v>45586</v>
      </c>
      <c r="O88" s="2">
        <v>45610</v>
      </c>
      <c r="P88" s="2">
        <v>45614</v>
      </c>
      <c r="Q8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4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4" t="str">
        <f>IF(MISUO[[#This Row],[الفرق بين الفعلي والمتوقع]]&gt;3,"سيئة",IF(MISUO[[#This Row],[الفرق بين الفعلي والمتوقع]]&gt;=0,"مقبولة","ممتازة"))</f>
        <v>سيئة</v>
      </c>
      <c r="U8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143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149</v>
      </c>
      <c r="C89" t="s">
        <v>178</v>
      </c>
      <c r="D89" t="s">
        <v>178</v>
      </c>
      <c r="E89" t="s">
        <v>11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2">
        <v>45589</v>
      </c>
      <c r="O89" s="2">
        <v>45610</v>
      </c>
      <c r="P89" s="2">
        <v>45595</v>
      </c>
      <c r="Q8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143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149</v>
      </c>
      <c r="C90" t="s">
        <v>178</v>
      </c>
      <c r="D90" t="s">
        <v>178</v>
      </c>
      <c r="E90" t="s">
        <v>11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192</v>
      </c>
      <c r="N90" s="2">
        <v>45591</v>
      </c>
      <c r="O90" s="2">
        <v>45612</v>
      </c>
      <c r="P90" s="2"/>
      <c r="Q9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2" t="str">
        <f>IF(MISUO[[#This Row],[الفرق بين الفعلي والمتوقع]]&gt;3,"سيئة",IF(MISUO[[#This Row],[الفرق بين الفعلي والمتوقع]]&gt;=0,"مقبولة","ممتازة"))</f>
        <v>سيئة</v>
      </c>
      <c r="U90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148</v>
      </c>
      <c r="C91" t="s">
        <v>176</v>
      </c>
      <c r="D91" t="s">
        <v>152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192</v>
      </c>
      <c r="N91" s="2">
        <v>45591</v>
      </c>
      <c r="O91" s="2">
        <v>45606</v>
      </c>
      <c r="P91" s="2">
        <v>45614</v>
      </c>
      <c r="Q9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4" t="str">
        <f>IF(MISUO[[#This Row],[الفرق بين الفعلي والمتوقع]]&gt;3,"سيئة",IF(MISUO[[#This Row],[الفرق بين الفعلي والمتوقع]]&gt;=0,"مقبولة","ممتازة"))</f>
        <v>سيئة</v>
      </c>
      <c r="U9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143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148</v>
      </c>
      <c r="C92" t="s">
        <v>176</v>
      </c>
      <c r="D92" t="s">
        <v>152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192</v>
      </c>
      <c r="N92" s="2">
        <v>45591</v>
      </c>
      <c r="O92" s="2">
        <v>45606</v>
      </c>
      <c r="P92" s="2">
        <v>45614</v>
      </c>
      <c r="Q9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4" t="str">
        <f>IF(MISUO[[#This Row],[الفرق بين الفعلي والمتوقع]]&gt;3,"سيئة",IF(MISUO[[#This Row],[الفرق بين الفعلي والمتوقع]]&gt;=0,"مقبولة","ممتازة"))</f>
        <v>سيئة</v>
      </c>
      <c r="U9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143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111</v>
      </c>
      <c r="B93" t="s">
        <v>149</v>
      </c>
      <c r="C93" t="s">
        <v>41</v>
      </c>
      <c r="D93" t="s">
        <v>158</v>
      </c>
      <c r="E93" t="s">
        <v>3</v>
      </c>
      <c r="F93">
        <v>1</v>
      </c>
      <c r="G93" t="s">
        <v>63</v>
      </c>
      <c r="H93" t="s">
        <v>181</v>
      </c>
      <c r="I93" t="s">
        <v>182</v>
      </c>
      <c r="J93">
        <v>100</v>
      </c>
      <c r="K93" t="s">
        <v>74</v>
      </c>
      <c r="L93">
        <v>4800</v>
      </c>
      <c r="M93" t="s">
        <v>192</v>
      </c>
      <c r="N93" s="2">
        <v>45593</v>
      </c>
      <c r="O93" s="2">
        <v>45607</v>
      </c>
      <c r="P93" s="2">
        <v>45617</v>
      </c>
      <c r="Q9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4" t="str">
        <f>IF(MISUO[[#This Row],[الفرق بين الفعلي والمتوقع]]&gt;3,"سيئة",IF(MISUO[[#This Row],[الفرق بين الفعلي والمتوقع]]&gt;=0,"مقبولة","ممتازة"))</f>
        <v>سيئة</v>
      </c>
      <c r="U9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143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111</v>
      </c>
      <c r="B94" t="s">
        <v>149</v>
      </c>
      <c r="C94" t="s">
        <v>41</v>
      </c>
      <c r="D94" t="s">
        <v>158</v>
      </c>
      <c r="E94" t="s">
        <v>3</v>
      </c>
      <c r="F94">
        <v>1</v>
      </c>
      <c r="G94" t="s">
        <v>63</v>
      </c>
      <c r="H94" t="s">
        <v>181</v>
      </c>
      <c r="I94" t="s">
        <v>182</v>
      </c>
      <c r="J94">
        <v>120</v>
      </c>
      <c r="K94" t="s">
        <v>74</v>
      </c>
      <c r="L94">
        <v>5000</v>
      </c>
      <c r="M94" t="s">
        <v>192</v>
      </c>
      <c r="N94" s="2">
        <v>45593</v>
      </c>
      <c r="O94" s="2">
        <v>45607</v>
      </c>
      <c r="P94" s="2">
        <v>45617</v>
      </c>
      <c r="Q9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4" t="str">
        <f>IF(MISUO[[#This Row],[الفرق بين الفعلي والمتوقع]]&gt;3,"سيئة",IF(MISUO[[#This Row],[الفرق بين الفعلي والمتوقع]]&gt;=0,"مقبولة","ممتازة"))</f>
        <v>سيئة</v>
      </c>
      <c r="U9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143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112</v>
      </c>
      <c r="B95" t="s">
        <v>148</v>
      </c>
      <c r="C95" t="s">
        <v>115</v>
      </c>
      <c r="D95" t="s">
        <v>158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2">
        <v>45607</v>
      </c>
      <c r="O95" s="2">
        <v>45622</v>
      </c>
      <c r="P95" s="2">
        <v>45623</v>
      </c>
      <c r="Q9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143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149</v>
      </c>
      <c r="C96" t="s">
        <v>178</v>
      </c>
      <c r="D96" t="s">
        <v>178</v>
      </c>
      <c r="E96" t="s">
        <v>11</v>
      </c>
      <c r="F96">
        <v>1</v>
      </c>
      <c r="G96" t="s">
        <v>71</v>
      </c>
      <c r="H96" t="s">
        <v>72</v>
      </c>
      <c r="I96" t="s">
        <v>113</v>
      </c>
      <c r="J96"/>
      <c r="K96" t="s">
        <v>75</v>
      </c>
      <c r="L96">
        <v>15872</v>
      </c>
      <c r="M96" t="s">
        <v>6</v>
      </c>
      <c r="N96" s="2">
        <v>45604</v>
      </c>
      <c r="O96" s="2">
        <v>45629</v>
      </c>
      <c r="P96" s="2">
        <v>45610</v>
      </c>
      <c r="Q9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143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114</v>
      </c>
      <c r="B97" t="s">
        <v>149</v>
      </c>
      <c r="C97" t="s">
        <v>20</v>
      </c>
      <c r="D97" t="s">
        <v>158</v>
      </c>
      <c r="E97" t="s">
        <v>107</v>
      </c>
      <c r="F97">
        <v>1</v>
      </c>
      <c r="G97" t="s">
        <v>63</v>
      </c>
      <c r="H97" t="s">
        <v>181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2">
        <v>45606</v>
      </c>
      <c r="O97" s="2">
        <v>45618</v>
      </c>
      <c r="P97" s="2">
        <v>45617</v>
      </c>
      <c r="Q9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143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149</v>
      </c>
      <c r="C98" t="s">
        <v>179</v>
      </c>
      <c r="D98" t="s">
        <v>152</v>
      </c>
      <c r="E98" t="s">
        <v>146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2">
        <v>45608</v>
      </c>
      <c r="O98" s="2">
        <v>45622</v>
      </c>
      <c r="P98" s="2">
        <v>45621</v>
      </c>
      <c r="Q9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143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116</v>
      </c>
      <c r="B99" t="s">
        <v>148</v>
      </c>
      <c r="C99" t="s">
        <v>41</v>
      </c>
      <c r="D99" t="s">
        <v>158</v>
      </c>
      <c r="E99" t="s">
        <v>3</v>
      </c>
      <c r="F99">
        <v>1</v>
      </c>
      <c r="G99" t="s">
        <v>63</v>
      </c>
      <c r="H99" t="s">
        <v>181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2">
        <v>45608</v>
      </c>
      <c r="O99" s="2">
        <v>45620</v>
      </c>
      <c r="P99" s="2">
        <v>45623</v>
      </c>
      <c r="Q9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143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117</v>
      </c>
      <c r="B100" t="s">
        <v>148</v>
      </c>
      <c r="C100" t="s">
        <v>20</v>
      </c>
      <c r="D100" t="s">
        <v>158</v>
      </c>
      <c r="E100" t="s">
        <v>3</v>
      </c>
      <c r="F100">
        <v>1</v>
      </c>
      <c r="G100" t="s">
        <v>63</v>
      </c>
      <c r="H100" t="s">
        <v>73</v>
      </c>
      <c r="I100" t="s">
        <v>118</v>
      </c>
      <c r="J100">
        <v>80</v>
      </c>
      <c r="K100" t="s">
        <v>74</v>
      </c>
      <c r="L100">
        <v>12919</v>
      </c>
      <c r="M100" t="s">
        <v>6</v>
      </c>
      <c r="N100" s="2">
        <v>45610</v>
      </c>
      <c r="O100" s="2">
        <v>45626</v>
      </c>
      <c r="P100" s="2">
        <v>45623</v>
      </c>
      <c r="Q10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143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149</v>
      </c>
      <c r="C101" t="s">
        <v>179</v>
      </c>
      <c r="D101" t="s">
        <v>152</v>
      </c>
      <c r="E101" t="s">
        <v>146</v>
      </c>
      <c r="F101">
        <v>1</v>
      </c>
      <c r="G101" t="s">
        <v>63</v>
      </c>
      <c r="H101" t="s">
        <v>73</v>
      </c>
      <c r="I101" t="s">
        <v>65</v>
      </c>
      <c r="J101">
        <v>120</v>
      </c>
      <c r="K101" t="s">
        <v>183</v>
      </c>
      <c r="L101">
        <v>6376</v>
      </c>
      <c r="M101" t="s">
        <v>31</v>
      </c>
      <c r="N101" s="2">
        <v>45610</v>
      </c>
      <c r="O101" s="2">
        <v>45623</v>
      </c>
      <c r="P101" s="2">
        <v>45621</v>
      </c>
      <c r="Q10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143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149</v>
      </c>
      <c r="C102" t="s">
        <v>179</v>
      </c>
      <c r="D102" t="s">
        <v>152</v>
      </c>
      <c r="E102" t="s">
        <v>146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2">
        <v>45610</v>
      </c>
      <c r="O102" s="2">
        <v>45623</v>
      </c>
      <c r="P102" s="2">
        <v>45621</v>
      </c>
      <c r="Q10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143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120</v>
      </c>
      <c r="B103" t="s">
        <v>148</v>
      </c>
      <c r="C103" t="s">
        <v>159</v>
      </c>
      <c r="D103" t="s">
        <v>152</v>
      </c>
      <c r="E103" t="s">
        <v>121</v>
      </c>
      <c r="F103">
        <v>1</v>
      </c>
      <c r="G103" t="s">
        <v>63</v>
      </c>
      <c r="H103" t="s">
        <v>73</v>
      </c>
      <c r="I103" t="s">
        <v>122</v>
      </c>
      <c r="J103">
        <v>80</v>
      </c>
      <c r="K103" t="s">
        <v>74</v>
      </c>
      <c r="L103">
        <v>7396</v>
      </c>
      <c r="M103" t="s">
        <v>6</v>
      </c>
      <c r="N103" s="2">
        <v>45613</v>
      </c>
      <c r="O103" s="2">
        <v>45624</v>
      </c>
      <c r="P103" s="2">
        <v>45622</v>
      </c>
      <c r="Q10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143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148</v>
      </c>
      <c r="C104" t="s">
        <v>159</v>
      </c>
      <c r="D104" t="s">
        <v>152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192</v>
      </c>
      <c r="N104" s="2">
        <v>45616</v>
      </c>
      <c r="O104" s="2">
        <v>45631</v>
      </c>
      <c r="P104" s="2">
        <v>45622</v>
      </c>
      <c r="Q10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4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143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149</v>
      </c>
      <c r="C105" t="s">
        <v>160</v>
      </c>
      <c r="D105" t="s">
        <v>158</v>
      </c>
      <c r="E105" t="s">
        <v>16</v>
      </c>
      <c r="F105">
        <v>1</v>
      </c>
      <c r="G105" t="s">
        <v>63</v>
      </c>
      <c r="H105" t="s">
        <v>181</v>
      </c>
      <c r="I105" t="s">
        <v>123</v>
      </c>
      <c r="J105">
        <v>160</v>
      </c>
      <c r="K105" t="s">
        <v>75</v>
      </c>
      <c r="L105">
        <v>5100</v>
      </c>
      <c r="M105" t="s">
        <v>31</v>
      </c>
      <c r="N105" s="2">
        <v>45610</v>
      </c>
      <c r="O105" s="2">
        <v>45634</v>
      </c>
      <c r="P105" s="2"/>
      <c r="Q10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145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124</v>
      </c>
      <c r="B106" t="s">
        <v>148</v>
      </c>
      <c r="C106" t="s">
        <v>174</v>
      </c>
      <c r="D106" t="s">
        <v>158</v>
      </c>
      <c r="E106" t="s">
        <v>125</v>
      </c>
      <c r="F106">
        <v>1</v>
      </c>
      <c r="G106" t="s">
        <v>63</v>
      </c>
      <c r="H106" t="s">
        <v>181</v>
      </c>
      <c r="I106" t="s">
        <v>126</v>
      </c>
      <c r="J106">
        <v>160</v>
      </c>
      <c r="K106" t="s">
        <v>81</v>
      </c>
      <c r="L106">
        <v>5800</v>
      </c>
      <c r="M106" t="s">
        <v>192</v>
      </c>
      <c r="N106" s="2">
        <v>45618</v>
      </c>
      <c r="O106" s="2">
        <v>45628</v>
      </c>
      <c r="P106" s="2">
        <v>45623</v>
      </c>
      <c r="Q10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143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127</v>
      </c>
      <c r="B107" t="s">
        <v>149</v>
      </c>
      <c r="C107" t="s">
        <v>128</v>
      </c>
      <c r="D107" t="s">
        <v>158</v>
      </c>
      <c r="E107" t="s">
        <v>3</v>
      </c>
      <c r="F107">
        <v>1</v>
      </c>
      <c r="G107" t="s">
        <v>63</v>
      </c>
      <c r="H107" t="s">
        <v>181</v>
      </c>
      <c r="I107" t="s">
        <v>182</v>
      </c>
      <c r="J107">
        <v>120</v>
      </c>
      <c r="K107" t="s">
        <v>183</v>
      </c>
      <c r="L107">
        <v>10885</v>
      </c>
      <c r="M107" t="s">
        <v>192</v>
      </c>
      <c r="N107" s="2">
        <v>45620</v>
      </c>
      <c r="O107" s="2">
        <v>45631</v>
      </c>
      <c r="P107" s="2">
        <v>45636</v>
      </c>
      <c r="Q10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143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149</v>
      </c>
      <c r="C108" t="s">
        <v>160</v>
      </c>
      <c r="D108" t="s">
        <v>158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192</v>
      </c>
      <c r="N108" s="2">
        <v>45615</v>
      </c>
      <c r="O108" s="2">
        <v>45631</v>
      </c>
      <c r="P108" s="2">
        <v>45616</v>
      </c>
      <c r="Q10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4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144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129</v>
      </c>
      <c r="B109" t="s">
        <v>148</v>
      </c>
      <c r="C109" t="s">
        <v>172</v>
      </c>
      <c r="D109" t="s">
        <v>166</v>
      </c>
      <c r="E109" t="s">
        <v>3</v>
      </c>
      <c r="F109">
        <v>1</v>
      </c>
      <c r="G109" t="s">
        <v>184</v>
      </c>
      <c r="H109" t="s">
        <v>187</v>
      </c>
      <c r="I109"/>
      <c r="J109"/>
      <c r="K109"/>
      <c r="L109">
        <v>8449</v>
      </c>
      <c r="M109" t="s">
        <v>6</v>
      </c>
      <c r="N109" s="2">
        <v>45623</v>
      </c>
      <c r="O109" s="2">
        <v>45636</v>
      </c>
      <c r="P109" s="2">
        <v>45649</v>
      </c>
      <c r="Q10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4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4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202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130</v>
      </c>
      <c r="B110" t="s">
        <v>148</v>
      </c>
      <c r="C110" t="s">
        <v>175</v>
      </c>
      <c r="D110" t="s">
        <v>158</v>
      </c>
      <c r="E110" t="s">
        <v>3</v>
      </c>
      <c r="F110">
        <v>1</v>
      </c>
      <c r="G110" t="s">
        <v>184</v>
      </c>
      <c r="H110" t="s">
        <v>73</v>
      </c>
      <c r="I110"/>
      <c r="J110"/>
      <c r="K110" t="s">
        <v>74</v>
      </c>
      <c r="L110">
        <v>10249</v>
      </c>
      <c r="M110" t="s">
        <v>192</v>
      </c>
      <c r="N110" s="2">
        <v>45623</v>
      </c>
      <c r="O110" s="2">
        <v>45636</v>
      </c>
      <c r="P110" s="2">
        <v>45645</v>
      </c>
      <c r="Q1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143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132</v>
      </c>
      <c r="B111" t="s">
        <v>148</v>
      </c>
      <c r="C111" t="s">
        <v>173</v>
      </c>
      <c r="D111" t="s">
        <v>166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2">
        <v>45625</v>
      </c>
      <c r="O111" s="2">
        <v>45641</v>
      </c>
      <c r="P111" s="2"/>
      <c r="Q11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133</v>
      </c>
      <c r="B112" t="s">
        <v>148</v>
      </c>
      <c r="C112" t="s">
        <v>161</v>
      </c>
      <c r="D112" t="s">
        <v>158</v>
      </c>
      <c r="E112" t="s">
        <v>3</v>
      </c>
      <c r="F112">
        <v>1</v>
      </c>
      <c r="G112" t="s">
        <v>184</v>
      </c>
      <c r="H112" t="s">
        <v>131</v>
      </c>
      <c r="I112"/>
      <c r="J112"/>
      <c r="K112" t="s">
        <v>75</v>
      </c>
      <c r="L112">
        <v>10249</v>
      </c>
      <c r="M112" t="s">
        <v>6</v>
      </c>
      <c r="N112" s="2">
        <v>45626</v>
      </c>
      <c r="O112" s="2">
        <v>45638</v>
      </c>
      <c r="P112" s="2"/>
      <c r="Q1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134</v>
      </c>
      <c r="B113" t="s">
        <v>148</v>
      </c>
      <c r="C113" t="s">
        <v>161</v>
      </c>
      <c r="D113" t="s">
        <v>158</v>
      </c>
      <c r="E113" t="s">
        <v>3</v>
      </c>
      <c r="F113">
        <v>1</v>
      </c>
      <c r="G113" t="s">
        <v>184</v>
      </c>
      <c r="H113" t="s">
        <v>185</v>
      </c>
      <c r="I113"/>
      <c r="J113"/>
      <c r="K113" t="s">
        <v>75</v>
      </c>
      <c r="L113">
        <v>9029</v>
      </c>
      <c r="M113" t="s">
        <v>6</v>
      </c>
      <c r="N113" s="2">
        <v>45626</v>
      </c>
      <c r="O113" s="2">
        <v>45638</v>
      </c>
      <c r="P113" s="2"/>
      <c r="Q1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135</v>
      </c>
      <c r="B114" t="s">
        <v>148</v>
      </c>
      <c r="C114" t="s">
        <v>164</v>
      </c>
      <c r="D114" t="s">
        <v>95</v>
      </c>
      <c r="E114" t="s">
        <v>3</v>
      </c>
      <c r="F114">
        <v>1</v>
      </c>
      <c r="G114" t="s">
        <v>184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2">
        <v>45626</v>
      </c>
      <c r="O114" s="2">
        <v>45638</v>
      </c>
      <c r="P114" s="2"/>
      <c r="Q11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145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136</v>
      </c>
      <c r="B115" t="s">
        <v>148</v>
      </c>
      <c r="C115" t="s">
        <v>167</v>
      </c>
      <c r="D115" t="s">
        <v>158</v>
      </c>
      <c r="E115" t="s">
        <v>3</v>
      </c>
      <c r="F115">
        <v>1</v>
      </c>
      <c r="G115" t="s">
        <v>63</v>
      </c>
      <c r="H115" t="s">
        <v>119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2">
        <v>45628</v>
      </c>
      <c r="O115" s="2">
        <v>45643</v>
      </c>
      <c r="P115" s="2"/>
      <c r="Q1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149</v>
      </c>
      <c r="C116" t="s">
        <v>179</v>
      </c>
      <c r="D116" t="s">
        <v>152</v>
      </c>
      <c r="E116" t="s">
        <v>146</v>
      </c>
      <c r="F116">
        <v>1</v>
      </c>
      <c r="G116" t="s">
        <v>63</v>
      </c>
      <c r="H116" t="s">
        <v>73</v>
      </c>
      <c r="I116" t="s">
        <v>122</v>
      </c>
      <c r="J116">
        <v>90</v>
      </c>
      <c r="K116" t="s">
        <v>77</v>
      </c>
      <c r="L116">
        <v>5217</v>
      </c>
      <c r="M116" t="s">
        <v>31</v>
      </c>
      <c r="N116" s="2">
        <v>45627</v>
      </c>
      <c r="O116" s="2">
        <v>45640</v>
      </c>
      <c r="P116" s="2">
        <v>45636</v>
      </c>
      <c r="Q1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4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143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137</v>
      </c>
      <c r="B117" t="s">
        <v>148</v>
      </c>
      <c r="C117" t="s">
        <v>57</v>
      </c>
      <c r="D117" t="s">
        <v>163</v>
      </c>
      <c r="E117" t="s">
        <v>3</v>
      </c>
      <c r="F117">
        <v>1</v>
      </c>
      <c r="G117" t="s">
        <v>63</v>
      </c>
      <c r="H117" t="s">
        <v>64</v>
      </c>
      <c r="I117"/>
      <c r="J117"/>
      <c r="K117" t="s">
        <v>75</v>
      </c>
      <c r="L117">
        <v>10249</v>
      </c>
      <c r="M117" t="s">
        <v>192</v>
      </c>
      <c r="N117" s="2">
        <v>45630</v>
      </c>
      <c r="O117" s="2">
        <v>45640</v>
      </c>
      <c r="P117" s="2">
        <v>45645</v>
      </c>
      <c r="Q1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143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138</v>
      </c>
      <c r="B118" t="s">
        <v>148</v>
      </c>
      <c r="C118" t="s">
        <v>161</v>
      </c>
      <c r="D118" t="s">
        <v>158</v>
      </c>
      <c r="E118" t="s">
        <v>11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192</v>
      </c>
      <c r="N118" s="2">
        <v>45635</v>
      </c>
      <c r="O118" s="2">
        <v>45657</v>
      </c>
      <c r="P118" s="2">
        <v>45638</v>
      </c>
      <c r="Q1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4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143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139</v>
      </c>
      <c r="B119" t="s">
        <v>148</v>
      </c>
      <c r="C119" t="s">
        <v>161</v>
      </c>
      <c r="D119" t="s">
        <v>158</v>
      </c>
      <c r="E119" t="s">
        <v>3</v>
      </c>
      <c r="F119">
        <v>1</v>
      </c>
      <c r="G119" t="s">
        <v>184</v>
      </c>
      <c r="H119" t="s">
        <v>73</v>
      </c>
      <c r="I119"/>
      <c r="J119"/>
      <c r="K119" t="s">
        <v>75</v>
      </c>
      <c r="L119">
        <v>11257</v>
      </c>
      <c r="M119" t="s">
        <v>192</v>
      </c>
      <c r="N119" s="2">
        <v>45638</v>
      </c>
      <c r="O119" s="2">
        <v>45650</v>
      </c>
      <c r="P119" s="2">
        <v>45645</v>
      </c>
      <c r="Q1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143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140</v>
      </c>
      <c r="B120" t="s">
        <v>148</v>
      </c>
      <c r="C120" t="s">
        <v>159</v>
      </c>
      <c r="D120" t="s">
        <v>152</v>
      </c>
      <c r="E120" t="s">
        <v>3</v>
      </c>
      <c r="F120">
        <v>1</v>
      </c>
      <c r="G120" t="s">
        <v>63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192</v>
      </c>
      <c r="N120" s="2">
        <v>45638</v>
      </c>
      <c r="O120" s="2">
        <v>45654</v>
      </c>
      <c r="P120" s="2">
        <v>45655</v>
      </c>
      <c r="Q1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143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149</v>
      </c>
      <c r="C121" t="s">
        <v>178</v>
      </c>
      <c r="D121" t="s">
        <v>178</v>
      </c>
      <c r="E121" t="s">
        <v>11</v>
      </c>
      <c r="F121">
        <v>1</v>
      </c>
      <c r="G121" t="s">
        <v>71</v>
      </c>
      <c r="H121" t="s">
        <v>72</v>
      </c>
      <c r="I121" t="s">
        <v>113</v>
      </c>
      <c r="J121"/>
      <c r="K121" t="s">
        <v>75</v>
      </c>
      <c r="L121">
        <v>8700</v>
      </c>
      <c r="M121" t="s">
        <v>31</v>
      </c>
      <c r="N121" s="2">
        <v>45640</v>
      </c>
      <c r="O121" s="2">
        <v>45662</v>
      </c>
      <c r="P121" s="2">
        <v>45655</v>
      </c>
      <c r="Q1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4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143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2"/>
      <c r="O122" s="2"/>
      <c r="P122" s="2"/>
      <c r="Q122" s="4"/>
      <c r="R122" s="4"/>
      <c r="S122" s="4"/>
      <c r="T122" s="4"/>
      <c r="U122" s="4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2"/>
      <c r="O123" s="2"/>
      <c r="P123" s="2"/>
      <c r="Q123" s="4"/>
      <c r="R123" s="4"/>
      <c r="S123" s="4"/>
      <c r="T123" s="4"/>
      <c r="U123" s="4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2"/>
      <c r="O124" s="2"/>
      <c r="P124" s="2"/>
      <c r="Q124" s="4"/>
      <c r="R124" s="4"/>
      <c r="S124" s="4"/>
      <c r="T124" s="4"/>
      <c r="U124" s="4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2"/>
      <c r="O125" s="2"/>
      <c r="P125" s="2"/>
      <c r="Q125" s="4"/>
      <c r="R125" s="4"/>
      <c r="S125" s="4"/>
      <c r="T125" s="4"/>
      <c r="U125" s="4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2"/>
      <c r="O126" s="2"/>
      <c r="P126" s="2"/>
      <c r="Q126" s="4"/>
      <c r="R126" s="4"/>
      <c r="S126" s="4"/>
      <c r="T126" s="4"/>
      <c r="U126" s="4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2"/>
      <c r="O127" s="2"/>
      <c r="P127" s="2"/>
      <c r="Q127" s="4"/>
      <c r="R127" s="4"/>
      <c r="S127" s="4"/>
      <c r="T127" s="4"/>
      <c r="U127" s="4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569E-6651-4AB9-A7E0-386A185EB78D}">
  <dimension ref="A1:Z18"/>
  <sheetViews>
    <sheetView workbookViewId="0">
      <selection activeCell="J12" sqref="J12"/>
    </sheetView>
  </sheetViews>
  <sheetFormatPr defaultRowHeight="14.4" x14ac:dyDescent="0.3"/>
  <cols>
    <col min="1" max="1" width="12.5546875" style="6" bestFit="1" customWidth="1"/>
    <col min="2" max="2" width="13.77734375" style="6" bestFit="1" customWidth="1"/>
    <col min="3" max="3" width="14.5546875" style="6" bestFit="1" customWidth="1"/>
    <col min="4" max="9" width="8.88671875" style="6"/>
    <col min="10" max="10" width="12.5546875" style="6" bestFit="1" customWidth="1"/>
    <col min="11" max="12" width="14.5546875" style="6" bestFit="1" customWidth="1"/>
    <col min="13" max="18" width="8.88671875" style="6"/>
    <col min="19" max="19" width="12.5546875" style="6" bestFit="1" customWidth="1"/>
    <col min="20" max="21" width="14.5546875" style="6" bestFit="1" customWidth="1"/>
    <col min="22" max="16384" width="8.88671875" style="6"/>
  </cols>
  <sheetData>
    <row r="1" spans="1:26" ht="14.4" customHeight="1" x14ac:dyDescent="0.3">
      <c r="A1" s="16" t="s">
        <v>207</v>
      </c>
      <c r="B1" s="17"/>
      <c r="C1" s="17"/>
      <c r="D1" s="17"/>
      <c r="E1" s="17"/>
      <c r="F1" s="17"/>
      <c r="G1" s="17"/>
      <c r="H1" s="18"/>
      <c r="J1" s="15"/>
      <c r="K1" s="15"/>
      <c r="L1" s="15"/>
      <c r="M1" s="15"/>
      <c r="N1" s="15"/>
      <c r="O1" s="15"/>
      <c r="P1" s="15"/>
      <c r="Q1" s="15"/>
      <c r="S1" s="15"/>
      <c r="T1" s="15"/>
      <c r="U1" s="15"/>
      <c r="V1" s="15"/>
      <c r="W1" s="15"/>
      <c r="X1" s="15"/>
      <c r="Y1" s="15"/>
      <c r="Z1" s="15"/>
    </row>
    <row r="2" spans="1:26" ht="14.4" customHeight="1" x14ac:dyDescent="0.3">
      <c r="A2" s="19"/>
      <c r="B2" s="20"/>
      <c r="C2" s="20"/>
      <c r="D2" s="20"/>
      <c r="E2" s="20"/>
      <c r="F2" s="20"/>
      <c r="G2" s="20"/>
      <c r="H2" s="21"/>
      <c r="J2" s="15"/>
      <c r="K2" s="15"/>
      <c r="L2" s="15"/>
      <c r="M2" s="15"/>
      <c r="N2" s="15"/>
      <c r="O2" s="15"/>
      <c r="P2" s="15"/>
      <c r="Q2" s="15"/>
      <c r="S2" s="15"/>
      <c r="T2" s="15"/>
      <c r="U2" s="15"/>
      <c r="V2" s="15"/>
      <c r="W2" s="15"/>
      <c r="X2" s="15"/>
      <c r="Y2" s="15"/>
      <c r="Z2" s="15"/>
    </row>
    <row r="3" spans="1:26" ht="15" customHeight="1" x14ac:dyDescent="0.3">
      <c r="A3" s="22"/>
      <c r="B3" s="23"/>
      <c r="C3" s="23"/>
      <c r="D3" s="23"/>
      <c r="E3" s="23"/>
      <c r="F3" s="23"/>
      <c r="G3" s="23"/>
      <c r="H3" s="24"/>
      <c r="J3" s="15"/>
      <c r="K3" s="15"/>
      <c r="L3" s="15"/>
      <c r="M3" s="15"/>
      <c r="N3" s="15"/>
      <c r="O3" s="15"/>
      <c r="P3" s="15"/>
      <c r="Q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0" t="s">
        <v>205</v>
      </c>
      <c r="B4" t="s">
        <v>204</v>
      </c>
      <c r="H4" s="7"/>
    </row>
    <row r="5" spans="1:26" x14ac:dyDescent="0.3">
      <c r="A5" s="11" t="s">
        <v>3</v>
      </c>
      <c r="B5">
        <v>869639</v>
      </c>
      <c r="H5" s="7"/>
    </row>
    <row r="6" spans="1:26" x14ac:dyDescent="0.3">
      <c r="A6" s="11" t="s">
        <v>11</v>
      </c>
      <c r="B6" s="4">
        <v>181962.5</v>
      </c>
      <c r="H6" s="7"/>
    </row>
    <row r="7" spans="1:26" x14ac:dyDescent="0.3">
      <c r="A7" s="11" t="s">
        <v>16</v>
      </c>
      <c r="B7">
        <v>70650</v>
      </c>
      <c r="H7" s="7"/>
    </row>
    <row r="8" spans="1:26" x14ac:dyDescent="0.3">
      <c r="A8" s="11" t="s">
        <v>146</v>
      </c>
      <c r="B8" s="4">
        <v>58031.91</v>
      </c>
      <c r="H8" s="7"/>
    </row>
    <row r="9" spans="1:26" x14ac:dyDescent="0.3">
      <c r="A9" s="11" t="s">
        <v>95</v>
      </c>
      <c r="B9">
        <v>29708</v>
      </c>
      <c r="H9" s="7"/>
    </row>
    <row r="10" spans="1:26" x14ac:dyDescent="0.3">
      <c r="A10" s="11" t="s">
        <v>125</v>
      </c>
      <c r="B10">
        <v>27250</v>
      </c>
      <c r="H10" s="7"/>
    </row>
    <row r="11" spans="1:26" x14ac:dyDescent="0.3">
      <c r="A11" s="11" t="s">
        <v>107</v>
      </c>
      <c r="B11">
        <v>9655</v>
      </c>
      <c r="H11" s="7"/>
    </row>
    <row r="12" spans="1:26" x14ac:dyDescent="0.3">
      <c r="A12" s="11" t="s">
        <v>121</v>
      </c>
      <c r="B12" s="13">
        <v>7396</v>
      </c>
      <c r="H12" s="7"/>
    </row>
    <row r="13" spans="1:26" ht="14.4" customHeight="1" thickBot="1" x14ac:dyDescent="0.35">
      <c r="A13" s="12" t="s">
        <v>206</v>
      </c>
      <c r="B13" s="14">
        <v>1254292.4100000001</v>
      </c>
      <c r="C13" s="8"/>
      <c r="D13" s="8"/>
      <c r="E13" s="8"/>
      <c r="F13" s="8"/>
      <c r="G13" s="8"/>
      <c r="H13" s="9"/>
    </row>
    <row r="14" spans="1:26" ht="14.4" customHeight="1" x14ac:dyDescent="0.3"/>
    <row r="15" spans="1:26" ht="14.4" customHeight="1" x14ac:dyDescent="0.3"/>
    <row r="16" spans="1:26" ht="14.4" customHeight="1" x14ac:dyDescent="0.3">
      <c r="A16" s="15"/>
      <c r="B16" s="15"/>
      <c r="C16" s="15"/>
      <c r="D16" s="15"/>
      <c r="E16" s="15"/>
      <c r="F16" s="15"/>
      <c r="G16" s="15"/>
      <c r="H16" s="15"/>
      <c r="J16" s="15"/>
      <c r="K16" s="15"/>
      <c r="L16" s="15"/>
      <c r="M16" s="15"/>
      <c r="N16" s="15"/>
      <c r="O16" s="15"/>
      <c r="P16" s="15"/>
      <c r="Q16" s="15"/>
    </row>
    <row r="17" spans="1:17" ht="14.4" customHeight="1" x14ac:dyDescent="0.3">
      <c r="A17" s="15"/>
      <c r="B17" s="15"/>
      <c r="C17" s="15"/>
      <c r="D17" s="15"/>
      <c r="E17" s="15"/>
      <c r="F17" s="15"/>
      <c r="G17" s="15"/>
      <c r="H17" s="15"/>
      <c r="J17" s="15"/>
      <c r="K17" s="15"/>
      <c r="L17" s="15"/>
      <c r="M17" s="15"/>
      <c r="N17" s="15"/>
      <c r="O17" s="15"/>
      <c r="P17" s="15"/>
      <c r="Q17" s="15"/>
    </row>
    <row r="18" spans="1:17" ht="15" customHeight="1" x14ac:dyDescent="0.3">
      <c r="A18" s="15"/>
      <c r="B18" s="15"/>
      <c r="C18" s="15"/>
      <c r="D18" s="15"/>
      <c r="E18" s="15"/>
      <c r="F18" s="15"/>
      <c r="G18" s="15"/>
      <c r="H18" s="15"/>
      <c r="J18" s="15"/>
      <c r="K18" s="15"/>
      <c r="L18" s="15"/>
      <c r="M18" s="15"/>
      <c r="N18" s="15"/>
      <c r="O18" s="15"/>
      <c r="P18" s="15"/>
      <c r="Q18" s="15"/>
    </row>
  </sheetData>
  <mergeCells count="5">
    <mergeCell ref="A16:H18"/>
    <mergeCell ref="A1:H3"/>
    <mergeCell ref="J1:Q3"/>
    <mergeCell ref="J16:Q18"/>
    <mergeCell ref="S1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workbookViewId="0">
      <selection activeCell="L15" sqref="L15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Pivot_Tables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2026-02-05T22:54:41Z</dcterms:modified>
</cp:coreProperties>
</file>