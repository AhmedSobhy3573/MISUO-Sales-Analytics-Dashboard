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hmed Sobhy\Desktop\Data Analytics Diploma\2- Excel\MISUO Project\03_Data_Analysis\"/>
    </mc:Choice>
  </mc:AlternateContent>
  <xr:revisionPtr revIDLastSave="0" documentId="13_ncr:1_{C16578E0-C350-432B-84C1-2DD714B7B8C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البيانات" sheetId="1" r:id="rId1"/>
    <sheet name="Pivot_Table" sheetId="9" r:id="rId2"/>
    <sheet name="Charts" sheetId="6" r:id="rId3"/>
  </sheets>
  <definedNames>
    <definedName name="_xlnm._FilterDatabase" localSheetId="0" hidden="1">البيانات!$A$1:$X$121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9" l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R2" i="1"/>
  <c r="S2" i="1" s="1"/>
  <c r="U2" i="1" s="1"/>
  <c r="R3" i="1"/>
  <c r="S3" i="1" s="1"/>
  <c r="U3" i="1" s="1"/>
  <c r="R4" i="1"/>
  <c r="S4" i="1" s="1"/>
  <c r="U4" i="1" s="1"/>
  <c r="R5" i="1"/>
  <c r="S5" i="1" s="1"/>
  <c r="U5" i="1" s="1"/>
  <c r="R6" i="1"/>
  <c r="S6" i="1" s="1"/>
  <c r="U6" i="1" s="1"/>
  <c r="R7" i="1"/>
  <c r="S7" i="1" s="1"/>
  <c r="U7" i="1" s="1"/>
  <c r="R8" i="1"/>
  <c r="S8" i="1" s="1"/>
  <c r="U8" i="1" s="1"/>
  <c r="R9" i="1"/>
  <c r="S9" i="1" s="1"/>
  <c r="U9" i="1" s="1"/>
  <c r="R10" i="1"/>
  <c r="S10" i="1" s="1"/>
  <c r="U10" i="1" s="1"/>
  <c r="R11" i="1"/>
  <c r="S11" i="1" s="1"/>
  <c r="U11" i="1" s="1"/>
  <c r="R12" i="1"/>
  <c r="S12" i="1" s="1"/>
  <c r="U12" i="1" s="1"/>
  <c r="R13" i="1"/>
  <c r="S13" i="1" s="1"/>
  <c r="U13" i="1" s="1"/>
  <c r="R14" i="1"/>
  <c r="S14" i="1" s="1"/>
  <c r="U14" i="1" s="1"/>
  <c r="R15" i="1"/>
  <c r="S15" i="1" s="1"/>
  <c r="U15" i="1" s="1"/>
  <c r="R16" i="1"/>
  <c r="S16" i="1" s="1"/>
  <c r="U16" i="1" s="1"/>
  <c r="R17" i="1"/>
  <c r="S17" i="1" s="1"/>
  <c r="U17" i="1" s="1"/>
  <c r="R18" i="1"/>
  <c r="S18" i="1" s="1"/>
  <c r="U18" i="1" s="1"/>
  <c r="R19" i="1"/>
  <c r="S19" i="1" s="1"/>
  <c r="U19" i="1" s="1"/>
  <c r="R20" i="1"/>
  <c r="S20" i="1" s="1"/>
  <c r="U20" i="1" s="1"/>
  <c r="R21" i="1"/>
  <c r="S21" i="1" s="1"/>
  <c r="U21" i="1" s="1"/>
  <c r="R22" i="1"/>
  <c r="S22" i="1" s="1"/>
  <c r="U22" i="1" s="1"/>
  <c r="R23" i="1"/>
  <c r="S23" i="1" s="1"/>
  <c r="U23" i="1" s="1"/>
  <c r="R24" i="1"/>
  <c r="S24" i="1" s="1"/>
  <c r="U24" i="1" s="1"/>
  <c r="R25" i="1"/>
  <c r="S25" i="1" s="1"/>
  <c r="U25" i="1" s="1"/>
  <c r="R26" i="1"/>
  <c r="R27" i="1"/>
  <c r="S27" i="1" s="1"/>
  <c r="U27" i="1" s="1"/>
  <c r="R28" i="1"/>
  <c r="S28" i="1" s="1"/>
  <c r="U28" i="1" s="1"/>
  <c r="R29" i="1"/>
  <c r="R30" i="1"/>
  <c r="S30" i="1" s="1"/>
  <c r="U30" i="1" s="1"/>
  <c r="R31" i="1"/>
  <c r="S31" i="1" s="1"/>
  <c r="U31" i="1" s="1"/>
  <c r="R32" i="1"/>
  <c r="S32" i="1" s="1"/>
  <c r="U32" i="1" s="1"/>
  <c r="R33" i="1"/>
  <c r="S33" i="1" s="1"/>
  <c r="U33" i="1" s="1"/>
  <c r="R34" i="1"/>
  <c r="S34" i="1" s="1"/>
  <c r="U34" i="1" s="1"/>
  <c r="R35" i="1"/>
  <c r="S35" i="1" s="1"/>
  <c r="U35" i="1" s="1"/>
  <c r="R36" i="1"/>
  <c r="S36" i="1" s="1"/>
  <c r="U36" i="1" s="1"/>
  <c r="R37" i="1"/>
  <c r="S37" i="1" s="1"/>
  <c r="U37" i="1" s="1"/>
  <c r="R38" i="1"/>
  <c r="S38" i="1" s="1"/>
  <c r="U38" i="1" s="1"/>
  <c r="R39" i="1"/>
  <c r="S39" i="1" s="1"/>
  <c r="U39" i="1" s="1"/>
  <c r="R40" i="1"/>
  <c r="S40" i="1" s="1"/>
  <c r="U40" i="1" s="1"/>
  <c r="R41" i="1"/>
  <c r="S41" i="1" s="1"/>
  <c r="U41" i="1" s="1"/>
  <c r="R42" i="1"/>
  <c r="S42" i="1" s="1"/>
  <c r="U42" i="1" s="1"/>
  <c r="R43" i="1"/>
  <c r="S43" i="1" s="1"/>
  <c r="U43" i="1" s="1"/>
  <c r="R44" i="1"/>
  <c r="S44" i="1" s="1"/>
  <c r="U44" i="1" s="1"/>
  <c r="R45" i="1"/>
  <c r="S45" i="1" s="1"/>
  <c r="U45" i="1" s="1"/>
  <c r="R46" i="1"/>
  <c r="S46" i="1" s="1"/>
  <c r="U46" i="1" s="1"/>
  <c r="R47" i="1"/>
  <c r="S47" i="1" s="1"/>
  <c r="U47" i="1" s="1"/>
  <c r="R48" i="1"/>
  <c r="S48" i="1" s="1"/>
  <c r="U48" i="1" s="1"/>
  <c r="R49" i="1"/>
  <c r="S49" i="1" s="1"/>
  <c r="U49" i="1" s="1"/>
  <c r="R50" i="1"/>
  <c r="S50" i="1" s="1"/>
  <c r="U50" i="1" s="1"/>
  <c r="R51" i="1"/>
  <c r="S51" i="1" s="1"/>
  <c r="U51" i="1" s="1"/>
  <c r="R52" i="1"/>
  <c r="S52" i="1" s="1"/>
  <c r="U52" i="1" s="1"/>
  <c r="R53" i="1"/>
  <c r="S53" i="1" s="1"/>
  <c r="U53" i="1" s="1"/>
  <c r="R54" i="1"/>
  <c r="S54" i="1" s="1"/>
  <c r="U54" i="1" s="1"/>
  <c r="R55" i="1"/>
  <c r="S55" i="1" s="1"/>
  <c r="U55" i="1" s="1"/>
  <c r="R56" i="1"/>
  <c r="S56" i="1" s="1"/>
  <c r="U56" i="1" s="1"/>
  <c r="R57" i="1"/>
  <c r="S57" i="1" s="1"/>
  <c r="U57" i="1" s="1"/>
  <c r="R58" i="1"/>
  <c r="S58" i="1" s="1"/>
  <c r="U58" i="1" s="1"/>
  <c r="R59" i="1"/>
  <c r="S59" i="1" s="1"/>
  <c r="U59" i="1" s="1"/>
  <c r="R60" i="1"/>
  <c r="S60" i="1" s="1"/>
  <c r="U60" i="1" s="1"/>
  <c r="R61" i="1"/>
  <c r="S61" i="1" s="1"/>
  <c r="U61" i="1" s="1"/>
  <c r="R62" i="1"/>
  <c r="S62" i="1" s="1"/>
  <c r="U62" i="1" s="1"/>
  <c r="R63" i="1"/>
  <c r="S63" i="1" s="1"/>
  <c r="U63" i="1" s="1"/>
  <c r="R64" i="1"/>
  <c r="S64" i="1" s="1"/>
  <c r="U64" i="1" s="1"/>
  <c r="R65" i="1"/>
  <c r="S65" i="1" s="1"/>
  <c r="U65" i="1" s="1"/>
  <c r="R66" i="1"/>
  <c r="S66" i="1" s="1"/>
  <c r="U66" i="1" s="1"/>
  <c r="R67" i="1"/>
  <c r="S67" i="1" s="1"/>
  <c r="U67" i="1" s="1"/>
  <c r="R68" i="1"/>
  <c r="S68" i="1" s="1"/>
  <c r="U68" i="1" s="1"/>
  <c r="R69" i="1"/>
  <c r="S69" i="1" s="1"/>
  <c r="U69" i="1" s="1"/>
  <c r="R70" i="1"/>
  <c r="S70" i="1" s="1"/>
  <c r="U70" i="1" s="1"/>
  <c r="R71" i="1"/>
  <c r="S71" i="1" s="1"/>
  <c r="U71" i="1" s="1"/>
  <c r="R72" i="1"/>
  <c r="R73" i="1"/>
  <c r="S73" i="1" s="1"/>
  <c r="U73" i="1" s="1"/>
  <c r="R74" i="1"/>
  <c r="S74" i="1" s="1"/>
  <c r="U74" i="1" s="1"/>
  <c r="R75" i="1"/>
  <c r="S75" i="1" s="1"/>
  <c r="U75" i="1" s="1"/>
  <c r="R76" i="1"/>
  <c r="S76" i="1" s="1"/>
  <c r="U76" i="1" s="1"/>
  <c r="R77" i="1"/>
  <c r="S77" i="1" s="1"/>
  <c r="U77" i="1" s="1"/>
  <c r="R78" i="1"/>
  <c r="S78" i="1" s="1"/>
  <c r="U78" i="1" s="1"/>
  <c r="R79" i="1"/>
  <c r="S79" i="1" s="1"/>
  <c r="U79" i="1" s="1"/>
  <c r="R80" i="1"/>
  <c r="S80" i="1" s="1"/>
  <c r="U80" i="1" s="1"/>
  <c r="R81" i="1"/>
  <c r="S81" i="1" s="1"/>
  <c r="U81" i="1" s="1"/>
  <c r="R82" i="1"/>
  <c r="S82" i="1" s="1"/>
  <c r="U82" i="1" s="1"/>
  <c r="R83" i="1"/>
  <c r="S83" i="1" s="1"/>
  <c r="U83" i="1" s="1"/>
  <c r="R84" i="1"/>
  <c r="S84" i="1" s="1"/>
  <c r="U84" i="1" s="1"/>
  <c r="R85" i="1"/>
  <c r="S85" i="1" s="1"/>
  <c r="U85" i="1" s="1"/>
  <c r="R86" i="1"/>
  <c r="S86" i="1" s="1"/>
  <c r="U86" i="1" s="1"/>
  <c r="R87" i="1"/>
  <c r="S87" i="1" s="1"/>
  <c r="U87" i="1" s="1"/>
  <c r="R88" i="1"/>
  <c r="S88" i="1" s="1"/>
  <c r="U88" i="1" s="1"/>
  <c r="R89" i="1"/>
  <c r="S89" i="1" s="1"/>
  <c r="U89" i="1" s="1"/>
  <c r="R90" i="1"/>
  <c r="S90" i="1" s="1"/>
  <c r="U90" i="1" s="1"/>
  <c r="R91" i="1"/>
  <c r="S91" i="1" s="1"/>
  <c r="U91" i="1" s="1"/>
  <c r="R92" i="1"/>
  <c r="S92" i="1" s="1"/>
  <c r="U92" i="1" s="1"/>
  <c r="R93" i="1"/>
  <c r="S93" i="1" s="1"/>
  <c r="U93" i="1" s="1"/>
  <c r="R94" i="1"/>
  <c r="S94" i="1" s="1"/>
  <c r="U94" i="1" s="1"/>
  <c r="R95" i="1"/>
  <c r="S95" i="1" s="1"/>
  <c r="U95" i="1" s="1"/>
  <c r="R96" i="1"/>
  <c r="S96" i="1" s="1"/>
  <c r="U96" i="1" s="1"/>
  <c r="R97" i="1"/>
  <c r="S97" i="1" s="1"/>
  <c r="U97" i="1" s="1"/>
  <c r="R98" i="1"/>
  <c r="S98" i="1" s="1"/>
  <c r="U98" i="1" s="1"/>
  <c r="R99" i="1"/>
  <c r="S99" i="1" s="1"/>
  <c r="U99" i="1" s="1"/>
  <c r="R100" i="1"/>
  <c r="S100" i="1" s="1"/>
  <c r="U100" i="1" s="1"/>
  <c r="R101" i="1"/>
  <c r="S101" i="1" s="1"/>
  <c r="U101" i="1" s="1"/>
  <c r="R102" i="1"/>
  <c r="S102" i="1" s="1"/>
  <c r="U102" i="1" s="1"/>
  <c r="R103" i="1"/>
  <c r="S103" i="1" s="1"/>
  <c r="U103" i="1" s="1"/>
  <c r="R104" i="1"/>
  <c r="S104" i="1" s="1"/>
  <c r="U104" i="1" s="1"/>
  <c r="R105" i="1"/>
  <c r="S105" i="1" s="1"/>
  <c r="U105" i="1" s="1"/>
  <c r="R106" i="1"/>
  <c r="S106" i="1" s="1"/>
  <c r="U106" i="1" s="1"/>
  <c r="R107" i="1"/>
  <c r="S107" i="1" s="1"/>
  <c r="U107" i="1" s="1"/>
  <c r="R108" i="1"/>
  <c r="S108" i="1" s="1"/>
  <c r="U108" i="1" s="1"/>
  <c r="R109" i="1"/>
  <c r="S109" i="1" s="1"/>
  <c r="U109" i="1" s="1"/>
  <c r="R110" i="1"/>
  <c r="S110" i="1" s="1"/>
  <c r="U110" i="1" s="1"/>
  <c r="R111" i="1"/>
  <c r="S111" i="1" s="1"/>
  <c r="U111" i="1" s="1"/>
  <c r="R112" i="1"/>
  <c r="S112" i="1" s="1"/>
  <c r="U112" i="1" s="1"/>
  <c r="R113" i="1"/>
  <c r="S113" i="1" s="1"/>
  <c r="U113" i="1" s="1"/>
  <c r="R114" i="1"/>
  <c r="S114" i="1" s="1"/>
  <c r="U114" i="1" s="1"/>
  <c r="R115" i="1"/>
  <c r="S115" i="1" s="1"/>
  <c r="U115" i="1" s="1"/>
  <c r="R116" i="1"/>
  <c r="S116" i="1" s="1"/>
  <c r="U116" i="1" s="1"/>
  <c r="R117" i="1"/>
  <c r="S117" i="1" s="1"/>
  <c r="U117" i="1" s="1"/>
  <c r="R118" i="1"/>
  <c r="S118" i="1" s="1"/>
  <c r="U118" i="1" s="1"/>
  <c r="R119" i="1"/>
  <c r="S119" i="1" s="1"/>
  <c r="U119" i="1" s="1"/>
  <c r="R120" i="1"/>
  <c r="S120" i="1" s="1"/>
  <c r="U120" i="1" s="1"/>
  <c r="R121" i="1"/>
  <c r="S121" i="1" s="1"/>
  <c r="U121" i="1" s="1"/>
  <c r="S26" i="1" l="1"/>
  <c r="U26" i="1" s="1"/>
  <c r="T121" i="1"/>
  <c r="T109" i="1"/>
  <c r="T97" i="1"/>
  <c r="T85" i="1"/>
  <c r="T73" i="1"/>
  <c r="T61" i="1"/>
  <c r="T49" i="1"/>
  <c r="T37" i="1"/>
  <c r="T25" i="1"/>
  <c r="T13" i="1"/>
  <c r="T120" i="1"/>
  <c r="T108" i="1"/>
  <c r="T96" i="1"/>
  <c r="T84" i="1"/>
  <c r="T60" i="1"/>
  <c r="T48" i="1"/>
  <c r="T36" i="1"/>
  <c r="T24" i="1"/>
  <c r="T12" i="1"/>
  <c r="T119" i="1"/>
  <c r="T107" i="1"/>
  <c r="T95" i="1"/>
  <c r="T83" i="1"/>
  <c r="T71" i="1"/>
  <c r="T59" i="1"/>
  <c r="T47" i="1"/>
  <c r="T35" i="1"/>
  <c r="T23" i="1"/>
  <c r="T11" i="1"/>
  <c r="T118" i="1"/>
  <c r="T106" i="1"/>
  <c r="T94" i="1"/>
  <c r="T82" i="1"/>
  <c r="T70" i="1"/>
  <c r="T58" i="1"/>
  <c r="T46" i="1"/>
  <c r="T34" i="1"/>
  <c r="T22" i="1"/>
  <c r="T10" i="1"/>
  <c r="T117" i="1"/>
  <c r="T105" i="1"/>
  <c r="T93" i="1"/>
  <c r="T81" i="1"/>
  <c r="T69" i="1"/>
  <c r="T57" i="1"/>
  <c r="T45" i="1"/>
  <c r="T33" i="1"/>
  <c r="T21" i="1"/>
  <c r="T9" i="1"/>
  <c r="T116" i="1"/>
  <c r="T104" i="1"/>
  <c r="T92" i="1"/>
  <c r="T80" i="1"/>
  <c r="T68" i="1"/>
  <c r="T56" i="1"/>
  <c r="T44" i="1"/>
  <c r="T32" i="1"/>
  <c r="T20" i="1"/>
  <c r="T8" i="1"/>
  <c r="T115" i="1"/>
  <c r="T103" i="1"/>
  <c r="T91" i="1"/>
  <c r="T79" i="1"/>
  <c r="T67" i="1"/>
  <c r="T55" i="1"/>
  <c r="T43" i="1"/>
  <c r="T31" i="1"/>
  <c r="T19" i="1"/>
  <c r="T7" i="1"/>
  <c r="T114" i="1"/>
  <c r="T102" i="1"/>
  <c r="T90" i="1"/>
  <c r="T78" i="1"/>
  <c r="T66" i="1"/>
  <c r="T54" i="1"/>
  <c r="T42" i="1"/>
  <c r="T30" i="1"/>
  <c r="T18" i="1"/>
  <c r="T6" i="1"/>
  <c r="T113" i="1"/>
  <c r="T101" i="1"/>
  <c r="T89" i="1"/>
  <c r="T77" i="1"/>
  <c r="T65" i="1"/>
  <c r="T53" i="1"/>
  <c r="T41" i="1"/>
  <c r="T17" i="1"/>
  <c r="T5" i="1"/>
  <c r="T112" i="1"/>
  <c r="T100" i="1"/>
  <c r="T88" i="1"/>
  <c r="T76" i="1"/>
  <c r="T64" i="1"/>
  <c r="T52" i="1"/>
  <c r="T40" i="1"/>
  <c r="T28" i="1"/>
  <c r="T16" i="1"/>
  <c r="T4" i="1"/>
  <c r="T111" i="1"/>
  <c r="T99" i="1"/>
  <c r="T87" i="1"/>
  <c r="T75" i="1"/>
  <c r="T63" i="1"/>
  <c r="T51" i="1"/>
  <c r="T39" i="1"/>
  <c r="T27" i="1"/>
  <c r="T15" i="1"/>
  <c r="T3" i="1"/>
  <c r="T110" i="1"/>
  <c r="T98" i="1"/>
  <c r="T86" i="1"/>
  <c r="T74" i="1"/>
  <c r="T62" i="1"/>
  <c r="T50" i="1"/>
  <c r="T38" i="1"/>
  <c r="T26" i="1"/>
  <c r="T14" i="1"/>
  <c r="T2" i="1"/>
  <c r="S29" i="1"/>
  <c r="S72" i="1"/>
  <c r="U72" i="1" l="1"/>
  <c r="T72" i="1"/>
  <c r="U29" i="1"/>
  <c r="T2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73226D-18E8-4EAC-AA7B-EE5F3E3FCAF4}" keepAlive="1" name="Query - MISUO(1)" description="Connection to the 'MISUO' query in the workbook." type="5" refreshedVersion="0" background="1">
    <dbPr connection="Provider=Microsoft.Mashup.OleDb.1;Data Source=$Workbook$;Location=MISUO;Extended Properties=&quot;&quot;" command="SELECT * FROM [MISUO]"/>
  </connection>
  <connection id="2" xr16:uid="{CAB7DB14-D8B7-4462-8233-C85F3769F136}" keepAlive="1" name="Query - طريقة الدفع" description="Connection to the 'طريقة الدفع' query in the workbook." type="5" refreshedVersion="0" background="1">
    <dbPr connection="Provider=Microsoft.Mashup.OleDb.1;Data Source=$Workbook$;Location=&quot;طريقة الدفع&quot;;Extended Properties=&quot;&quot;" command="SELECT * FROM [طريقة الدفع]"/>
  </connection>
</connections>
</file>

<file path=xl/sharedStrings.xml><?xml version="1.0" encoding="utf-8"?>
<sst xmlns="http://schemas.openxmlformats.org/spreadsheetml/2006/main" count="1411" uniqueCount="209">
  <si>
    <t>أسم العميل</t>
  </si>
  <si>
    <t>المسئول عن التسليم</t>
  </si>
  <si>
    <t xml:space="preserve">منصة البيع </t>
  </si>
  <si>
    <t>هومزمارت</t>
  </si>
  <si>
    <t xml:space="preserve">سعر البيع </t>
  </si>
  <si>
    <t xml:space="preserve">خالد عبد القوى </t>
  </si>
  <si>
    <t>مسبق الدفع</t>
  </si>
  <si>
    <t>محمود</t>
  </si>
  <si>
    <t>سعيد</t>
  </si>
  <si>
    <t>ساندرا</t>
  </si>
  <si>
    <t xml:space="preserve">زينا </t>
  </si>
  <si>
    <t xml:space="preserve">شيك هومز </t>
  </si>
  <si>
    <t xml:space="preserve">احمد </t>
  </si>
  <si>
    <t xml:space="preserve">فشل التسليم </t>
  </si>
  <si>
    <t>yilmaz</t>
  </si>
  <si>
    <t xml:space="preserve">تاكى </t>
  </si>
  <si>
    <t>تاكى</t>
  </si>
  <si>
    <t xml:space="preserve">على رشوان </t>
  </si>
  <si>
    <t>شيك هومز</t>
  </si>
  <si>
    <t xml:space="preserve">فيصل نعيم </t>
  </si>
  <si>
    <t xml:space="preserve">التجمع الخامس </t>
  </si>
  <si>
    <t>ellho elkafy</t>
  </si>
  <si>
    <t xml:space="preserve">لينا </t>
  </si>
  <si>
    <t xml:space="preserve">المقطم </t>
  </si>
  <si>
    <t xml:space="preserve">احمد فخرى </t>
  </si>
  <si>
    <t>حسن حازم</t>
  </si>
  <si>
    <t xml:space="preserve">رنا </t>
  </si>
  <si>
    <t xml:space="preserve">على السيد </t>
  </si>
  <si>
    <t xml:space="preserve">هشام بسيونى </t>
  </si>
  <si>
    <t>عبير نور الدين</t>
  </si>
  <si>
    <t>اوسكار راتن</t>
  </si>
  <si>
    <t>حساب شركه</t>
  </si>
  <si>
    <t>الشروق</t>
  </si>
  <si>
    <t xml:space="preserve">ساره وجيه </t>
  </si>
  <si>
    <t xml:space="preserve">مها </t>
  </si>
  <si>
    <t xml:space="preserve">اسراء ابو العنين </t>
  </si>
  <si>
    <t xml:space="preserve">بسام الشربينى </t>
  </si>
  <si>
    <t>وائل صادق</t>
  </si>
  <si>
    <t xml:space="preserve">هبه عبد الفتاح </t>
  </si>
  <si>
    <t xml:space="preserve">حاتم العيسوي </t>
  </si>
  <si>
    <t>صفاء</t>
  </si>
  <si>
    <t>المعادى</t>
  </si>
  <si>
    <t xml:space="preserve">اسراء ابراهيم </t>
  </si>
  <si>
    <t xml:space="preserve">طارق كمال </t>
  </si>
  <si>
    <t xml:space="preserve">مصطفي غنيم </t>
  </si>
  <si>
    <t xml:space="preserve">اسيوط </t>
  </si>
  <si>
    <t>حسام عبدون</t>
  </si>
  <si>
    <t xml:space="preserve">اياد </t>
  </si>
  <si>
    <t>ميار خورشد</t>
  </si>
  <si>
    <t xml:space="preserve">عبد الله سيد </t>
  </si>
  <si>
    <t xml:space="preserve">كينج سونا </t>
  </si>
  <si>
    <t xml:space="preserve">رامى </t>
  </si>
  <si>
    <t xml:space="preserve">احمد خالد </t>
  </si>
  <si>
    <t>الرحاب</t>
  </si>
  <si>
    <t>ساره</t>
  </si>
  <si>
    <t>رحاب</t>
  </si>
  <si>
    <t xml:space="preserve">احمد ايمن </t>
  </si>
  <si>
    <t>العبور</t>
  </si>
  <si>
    <t xml:space="preserve">فؤاد المنسي </t>
  </si>
  <si>
    <t xml:space="preserve">ديفد بهجت </t>
  </si>
  <si>
    <t xml:space="preserve">حسن مغرب </t>
  </si>
  <si>
    <t>صفاء الحكيم</t>
  </si>
  <si>
    <t>يوسف شناوى</t>
  </si>
  <si>
    <t>سرير</t>
  </si>
  <si>
    <t>منطبق</t>
  </si>
  <si>
    <t>نوفال</t>
  </si>
  <si>
    <t>فردى</t>
  </si>
  <si>
    <t>كينج</t>
  </si>
  <si>
    <t>كيفنج</t>
  </si>
  <si>
    <t>ركنة</t>
  </si>
  <si>
    <t>سحارة</t>
  </si>
  <si>
    <t>كنبة</t>
  </si>
  <si>
    <t>4*1</t>
  </si>
  <si>
    <t>دورين</t>
  </si>
  <si>
    <t>ابيض</t>
  </si>
  <si>
    <t>اسود</t>
  </si>
  <si>
    <t>ارفيل</t>
  </si>
  <si>
    <t>ازرق</t>
  </si>
  <si>
    <t>بنفسجى</t>
  </si>
  <si>
    <t>الاسم</t>
  </si>
  <si>
    <t>المقاس</t>
  </si>
  <si>
    <t>دهبي</t>
  </si>
  <si>
    <t>فورجينا</t>
  </si>
  <si>
    <t>كورين</t>
  </si>
  <si>
    <t>mohannad</t>
  </si>
  <si>
    <t>Mohamed Ayman</t>
  </si>
  <si>
    <t>الحالة</t>
  </si>
  <si>
    <t>فشل التسليم</t>
  </si>
  <si>
    <t>اسامه</t>
  </si>
  <si>
    <t>تم التسليم</t>
  </si>
  <si>
    <t>اسود وبنى</t>
  </si>
  <si>
    <t>ولاء بدوى</t>
  </si>
  <si>
    <t>عبد الرحمن يسري</t>
  </si>
  <si>
    <t>مرتجع</t>
  </si>
  <si>
    <t>الحج محمد السويس</t>
  </si>
  <si>
    <t>السويس</t>
  </si>
  <si>
    <t>فنيسيا</t>
  </si>
  <si>
    <t>شيزلونج</t>
  </si>
  <si>
    <t xml:space="preserve">نبيتى </t>
  </si>
  <si>
    <t>عمرو الأسود</t>
  </si>
  <si>
    <t>الزمالك</t>
  </si>
  <si>
    <t xml:space="preserve">تم التسليم بمعرفه الحج سيد </t>
  </si>
  <si>
    <t>keira</t>
  </si>
  <si>
    <t xml:space="preserve">نوفال </t>
  </si>
  <si>
    <t>tarek</t>
  </si>
  <si>
    <t>reem</t>
  </si>
  <si>
    <t>هشام سامى</t>
  </si>
  <si>
    <t xml:space="preserve">منزلى </t>
  </si>
  <si>
    <t>بلحه</t>
  </si>
  <si>
    <t>فانتستيك</t>
  </si>
  <si>
    <t>فاطمه محمد</t>
  </si>
  <si>
    <t>بولا هومزمارت</t>
  </si>
  <si>
    <t xml:space="preserve">محمد شكرى </t>
  </si>
  <si>
    <t>ارينا</t>
  </si>
  <si>
    <t>منزلى</t>
  </si>
  <si>
    <t>مدينتى</t>
  </si>
  <si>
    <t>حماده</t>
  </si>
  <si>
    <t>صفاء عبد الباقي</t>
  </si>
  <si>
    <t xml:space="preserve">كينج </t>
  </si>
  <si>
    <t xml:space="preserve">دورين </t>
  </si>
  <si>
    <t xml:space="preserve">رندا العامرى </t>
  </si>
  <si>
    <t xml:space="preserve">كيمت </t>
  </si>
  <si>
    <t xml:space="preserve">كيفنج </t>
  </si>
  <si>
    <t>امريكى</t>
  </si>
  <si>
    <t>محمد حمدى</t>
  </si>
  <si>
    <t>فيسبوك</t>
  </si>
  <si>
    <t xml:space="preserve">كوين </t>
  </si>
  <si>
    <t xml:space="preserve">بافلى هانى </t>
  </si>
  <si>
    <t xml:space="preserve">شبرا </t>
  </si>
  <si>
    <t>رنا ميلاد</t>
  </si>
  <si>
    <t>محمد ناجى</t>
  </si>
  <si>
    <t xml:space="preserve">دوران </t>
  </si>
  <si>
    <t>احمد عبد الستار</t>
  </si>
  <si>
    <t xml:space="preserve">نور </t>
  </si>
  <si>
    <t>نور</t>
  </si>
  <si>
    <t>تامر</t>
  </si>
  <si>
    <t>هناء اسامه</t>
  </si>
  <si>
    <t xml:space="preserve">محمد عادل </t>
  </si>
  <si>
    <t>مريم عنان</t>
  </si>
  <si>
    <t xml:space="preserve">هبه عطيه </t>
  </si>
  <si>
    <t>حمدى ذكرى</t>
  </si>
  <si>
    <t>الصنف</t>
  </si>
  <si>
    <t>نوع الصنف</t>
  </si>
  <si>
    <t xml:space="preserve">محمود على </t>
  </si>
  <si>
    <t xml:space="preserve">م محمد </t>
  </si>
  <si>
    <t>غير معروف</t>
  </si>
  <si>
    <t xml:space="preserve">اوسكار راتن </t>
  </si>
  <si>
    <t>نوع العميل</t>
  </si>
  <si>
    <t>أفراد</t>
  </si>
  <si>
    <t>شركات</t>
  </si>
  <si>
    <t>المدينة</t>
  </si>
  <si>
    <t>المحافظة</t>
  </si>
  <si>
    <t>الجيزة</t>
  </si>
  <si>
    <t>العجوزة</t>
  </si>
  <si>
    <t>سموحة</t>
  </si>
  <si>
    <t>سيدى عبد الرحمن</t>
  </si>
  <si>
    <t>الساحل الشمالى</t>
  </si>
  <si>
    <t>الغردقة</t>
  </si>
  <si>
    <t>القاهرة</t>
  </si>
  <si>
    <t>٦ اكتوبر</t>
  </si>
  <si>
    <t>العباسية</t>
  </si>
  <si>
    <t>القاهرة الجديدة</t>
  </si>
  <si>
    <t>القناطر الخيرية</t>
  </si>
  <si>
    <t>القليوبية</t>
  </si>
  <si>
    <t>العين السخنة</t>
  </si>
  <si>
    <t>الإبراهيمية</t>
  </si>
  <si>
    <t>الإسكندرية</t>
  </si>
  <si>
    <t>القطامية</t>
  </si>
  <si>
    <t>بولاق الدكرور</t>
  </si>
  <si>
    <t>حدائق الأهرام</t>
  </si>
  <si>
    <t>مدينة بدر</t>
  </si>
  <si>
    <t>البطاش</t>
  </si>
  <si>
    <t>جليم</t>
  </si>
  <si>
    <t>المندرة</t>
  </si>
  <si>
    <t>مصر الجديدة</t>
  </si>
  <si>
    <t xml:space="preserve">مدينة نصر </t>
  </si>
  <si>
    <t>الشيخ زايد</t>
  </si>
  <si>
    <t>فيصل</t>
  </si>
  <si>
    <t>غير محدد</t>
  </si>
  <si>
    <t>أبو رواش</t>
  </si>
  <si>
    <t>ثلاثة أدوار</t>
  </si>
  <si>
    <t>فردي</t>
  </si>
  <si>
    <t>اسباني</t>
  </si>
  <si>
    <t>رمادي</t>
  </si>
  <si>
    <t>ترابيزة</t>
  </si>
  <si>
    <t>قهوة</t>
  </si>
  <si>
    <t>الكمية</t>
  </si>
  <si>
    <t>مكتبة</t>
  </si>
  <si>
    <t>100*140</t>
  </si>
  <si>
    <t>وردي</t>
  </si>
  <si>
    <t>فوتية</t>
  </si>
  <si>
    <t>طريقة الدفع</t>
  </si>
  <si>
    <t>كاش</t>
  </si>
  <si>
    <t>تاريخ التسليم الفعلي</t>
  </si>
  <si>
    <t>تاريخ الطلب</t>
  </si>
  <si>
    <t xml:space="preserve">ميعاد التسليم المتوقع </t>
  </si>
  <si>
    <t>المدة الفعلية</t>
  </si>
  <si>
    <t>المدة المتوقعة</t>
  </si>
  <si>
    <t>الفرق بين الفعلي والمتوقع</t>
  </si>
  <si>
    <t>اللون</t>
  </si>
  <si>
    <t>حالة الالتزام</t>
  </si>
  <si>
    <t>نوع جهة التسليم</t>
  </si>
  <si>
    <t>شركة الشحن</t>
  </si>
  <si>
    <t>تجربة العميل</t>
  </si>
  <si>
    <t>Row Labels</t>
  </si>
  <si>
    <t>Grand Total</t>
  </si>
  <si>
    <t>Orders by Area</t>
  </si>
  <si>
    <t>Count of المحافظة</t>
  </si>
  <si>
    <t xml:space="preserve">Sum of سعر البيع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</si>
</sst>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right" vertical="center"/>
    </xf>
    <xf numFmtId="14" fontId="0" fillId="0" borderId="0" xfId="0" applyNumberFormat="1"/>
    <xf numFmtId="14" fontId="0" fillId="0" borderId="0" xfId="0" applyNumberFormat="1" applyAlignment="1">
      <alignment horizontal="right" vertical="center"/>
    </xf>
    <xf numFmtId="1" fontId="0" fillId="0" borderId="0" xfId="0" applyNumberFormat="1"/>
    <xf numFmtId="1" fontId="0" fillId="0" borderId="0" xfId="0" applyNumberFormat="1" applyAlignment="1">
      <alignment horizontal="right" vertical="center"/>
    </xf>
    <xf numFmtId="0" fontId="0" fillId="2" borderId="0" xfId="0" applyFill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4" xfId="0" pivotButton="1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2" borderId="12" xfId="0" applyFill="1" applyBorder="1"/>
    <xf numFmtId="0" fontId="0" fillId="0" borderId="7" xfId="0" applyBorder="1"/>
    <xf numFmtId="0" fontId="0" fillId="0" borderId="7" xfId="0" applyBorder="1" applyAlignment="1">
      <alignment horizontal="left"/>
    </xf>
    <xf numFmtId="164" fontId="0" fillId="0" borderId="0" xfId="0" applyNumberFormat="1"/>
    <xf numFmtId="164" fontId="0" fillId="0" borderId="7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24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(* #,##0_);_(* \(#,##0\);_(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</dxfs>
  <tableStyles count="1" defaultTableStyle="TableStyleMedium2" defaultPivotStyle="PivotStyleLight16">
    <tableStyle name="Invisible" pivot="0" table="0" count="0" xr9:uid="{AA73528B-8D85-432A-9172-AA70B5E8C6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[Area_Analysis.xlsx]Pivot_Table!PivotTable1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Pivot_Table!$A$5:$A$14</c:f>
              <c:strCache>
                <c:ptCount val="9"/>
                <c:pt idx="0">
                  <c:v>القاهرة</c:v>
                </c:pt>
                <c:pt idx="1">
                  <c:v>الجيزة</c:v>
                </c:pt>
                <c:pt idx="2">
                  <c:v>غير محدد</c:v>
                </c:pt>
                <c:pt idx="3">
                  <c:v>السويس</c:v>
                </c:pt>
                <c:pt idx="4">
                  <c:v>الإسكندرية</c:v>
                </c:pt>
                <c:pt idx="5">
                  <c:v>القليوبية</c:v>
                </c:pt>
                <c:pt idx="6">
                  <c:v>الغردقة</c:v>
                </c:pt>
                <c:pt idx="7">
                  <c:v>الساحل الشمالى</c:v>
                </c:pt>
                <c:pt idx="8">
                  <c:v>اسيوط </c:v>
                </c:pt>
              </c:strCache>
            </c:strRef>
          </c:cat>
          <c:val>
            <c:numRef>
              <c:f>Pivot_Table!$B$5:$B$14</c:f>
              <c:numCache>
                <c:formatCode>General</c:formatCode>
                <c:ptCount val="9"/>
                <c:pt idx="0">
                  <c:v>56</c:v>
                </c:pt>
                <c:pt idx="1">
                  <c:v>28</c:v>
                </c:pt>
                <c:pt idx="2">
                  <c:v>13</c:v>
                </c:pt>
                <c:pt idx="3">
                  <c:v>8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E-4FEC-ABEA-7D6AE2663B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33117440"/>
        <c:axId val="1333128480"/>
      </c:barChart>
      <c:catAx>
        <c:axId val="133311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28480"/>
        <c:crosses val="autoZero"/>
        <c:auto val="1"/>
        <c:lblAlgn val="ctr"/>
        <c:lblOffset val="100"/>
        <c:noMultiLvlLbl val="0"/>
      </c:catAx>
      <c:valAx>
        <c:axId val="13331284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33311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[Area_Analysis.xlsx]Pivot_Table!PivotTable2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Pivot_Table!$D$5:$D$14</c:f>
              <c:strCache>
                <c:ptCount val="9"/>
                <c:pt idx="0">
                  <c:v>القاهرة</c:v>
                </c:pt>
                <c:pt idx="1">
                  <c:v>الجيزة</c:v>
                </c:pt>
                <c:pt idx="2">
                  <c:v>غير محدد</c:v>
                </c:pt>
                <c:pt idx="3">
                  <c:v>السويس</c:v>
                </c:pt>
                <c:pt idx="4">
                  <c:v>الإسكندرية</c:v>
                </c:pt>
                <c:pt idx="5">
                  <c:v>الغردقة</c:v>
                </c:pt>
                <c:pt idx="6">
                  <c:v>القليوبية</c:v>
                </c:pt>
                <c:pt idx="7">
                  <c:v>الساحل الشمالى</c:v>
                </c:pt>
                <c:pt idx="8">
                  <c:v>اسيوط </c:v>
                </c:pt>
              </c:strCache>
            </c:strRef>
          </c:cat>
          <c:val>
            <c:numRef>
              <c:f>Pivot_Table!$E$5:$E$14</c:f>
              <c:numCache>
                <c:formatCode>_(* #,##0_);_(* \(#,##0\);_(* "-"??_);_(@_)</c:formatCode>
                <c:ptCount val="9"/>
                <c:pt idx="0">
                  <c:v>601627.90999999992</c:v>
                </c:pt>
                <c:pt idx="1">
                  <c:v>272815.5</c:v>
                </c:pt>
                <c:pt idx="2">
                  <c:v>148468</c:v>
                </c:pt>
                <c:pt idx="3">
                  <c:v>69084</c:v>
                </c:pt>
                <c:pt idx="4">
                  <c:v>54762</c:v>
                </c:pt>
                <c:pt idx="5">
                  <c:v>41640</c:v>
                </c:pt>
                <c:pt idx="6">
                  <c:v>28608</c:v>
                </c:pt>
                <c:pt idx="7">
                  <c:v>24288</c:v>
                </c:pt>
                <c:pt idx="8">
                  <c:v>12999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2-4FD3-ABE5-42F1CBB268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33144800"/>
        <c:axId val="1333140960"/>
      </c:barChart>
      <c:catAx>
        <c:axId val="1333144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40960"/>
        <c:crosses val="autoZero"/>
        <c:auto val="1"/>
        <c:lblAlgn val="ctr"/>
        <c:lblOffset val="100"/>
        <c:noMultiLvlLbl val="0"/>
      </c:catAx>
      <c:valAx>
        <c:axId val="133314096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crossAx val="133314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F49781-D05F-4C98-8776-049CA3014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</xdr:colOff>
      <xdr:row>0</xdr:row>
      <xdr:rowOff>0</xdr:rowOff>
    </xdr:from>
    <xdr:to>
      <xdr:col>15</xdr:col>
      <xdr:colOff>335280</xdr:colOff>
      <xdr:row>15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A6120C-99BC-4609-A889-BDA0643D8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Sobhy" refreshedDate="46059.276103240743" createdVersion="8" refreshedVersion="8" minRefreshableVersion="3" recordCount="120" xr:uid="{2C78A33D-E307-46FE-8E4A-7023E0C0E148}">
  <cacheSource type="worksheet">
    <worksheetSource name="MISUO"/>
  </cacheSource>
  <cacheFields count="24">
    <cacheField name="أسم العميل" numFmtId="0">
      <sharedItems/>
    </cacheField>
    <cacheField name="نوع العميل" numFmtId="0">
      <sharedItems/>
    </cacheField>
    <cacheField name="المدينة" numFmtId="0">
      <sharedItems count="31">
        <s v="الشروق"/>
        <s v="المعادى"/>
        <s v="الشيخ زايد"/>
        <s v="غير محدد"/>
        <s v="القاهرة الجديدة"/>
        <s v="العين السخنة"/>
        <s v="العباسية"/>
        <s v="بولاق الدكرور"/>
        <s v="سيدى عبد الرحمن"/>
        <s v="المقطم "/>
        <s v="التجمع الخامس "/>
        <s v="مدينة نصر "/>
        <s v="القناطر الخيرية"/>
        <s v="مصر الجديدة"/>
        <s v="الإبراهيمية"/>
        <s v="القطامية"/>
        <s v="٦ اكتوبر"/>
        <s v="حدائق الأهرام"/>
        <s v="فيصل"/>
        <s v="سموحة"/>
        <s v="العجوزة"/>
        <s v="الرحاب"/>
        <s v="العبور"/>
        <s v="مدينة بدر"/>
        <s v="أبو رواش"/>
        <s v="الزمالك"/>
        <s v="البطاش"/>
        <s v="مدينتى"/>
        <s v="شبرا "/>
        <s v="جليم"/>
        <s v="المندرة"/>
      </sharedItems>
    </cacheField>
    <cacheField name="المحافظة" numFmtId="0">
      <sharedItems count="9">
        <s v="القاهرة"/>
        <s v="الجيزة"/>
        <s v="الغردقة"/>
        <s v="غير محدد"/>
        <s v="السويس"/>
        <s v="الساحل الشمالى"/>
        <s v="القليوبية"/>
        <s v="الإسكندرية"/>
        <s v="اسيوط "/>
      </sharedItems>
    </cacheField>
    <cacheField name="منصة البيع " numFmtId="0">
      <sharedItems/>
    </cacheField>
    <cacheField name="الكمية" numFmtId="0">
      <sharedItems containsSemiMixedTypes="0" containsString="0" containsNumber="1" containsInteger="1" minValue="1" maxValue="4"/>
    </cacheField>
    <cacheField name="الصنف" numFmtId="0">
      <sharedItems/>
    </cacheField>
    <cacheField name="نوع الصنف" numFmtId="0">
      <sharedItems containsBlank="1"/>
    </cacheField>
    <cacheField name="الاسم" numFmtId="0">
      <sharedItems containsBlank="1"/>
    </cacheField>
    <cacheField name="المقاس" numFmtId="0">
      <sharedItems containsBlank="1" containsMixedTypes="1" containsNumber="1" containsInteger="1" minValue="80" maxValue="160"/>
    </cacheField>
    <cacheField name="اللون" numFmtId="0">
      <sharedItems containsBlank="1"/>
    </cacheField>
    <cacheField name="سعر البيع " numFmtId="0">
      <sharedItems containsSemiMixedTypes="0" containsString="0" containsNumber="1" minValue="4020" maxValue="22000"/>
    </cacheField>
    <cacheField name="طريقة الدفع" numFmtId="0">
      <sharedItems containsBlank="1"/>
    </cacheField>
    <cacheField name="تاريخ الطلب" numFmtId="14">
      <sharedItems containsNonDate="0" containsDate="1" containsString="0" containsBlank="1" minDate="2024-07-27T00:00:00" maxDate="2024-12-15T00:00:00"/>
    </cacheField>
    <cacheField name="ميعاد التسليم المتوقع " numFmtId="14">
      <sharedItems containsNonDate="0" containsDate="1" containsString="0" containsBlank="1" minDate="2024-08-20T00:00:00" maxDate="2025-01-06T00:00:00"/>
    </cacheField>
    <cacheField name="تاريخ التسليم الفعلي" numFmtId="14">
      <sharedItems containsNonDate="0" containsDate="1" containsString="0" containsBlank="1" minDate="2024-08-10T00:00:00" maxDate="2024-12-30T00:00:00"/>
    </cacheField>
    <cacheField name="المدة المتوقعة" numFmtId="1">
      <sharedItems containsMixedTypes="1" containsNumber="1" containsInteger="1" minValue="3" maxValue="67"/>
    </cacheField>
    <cacheField name="المدة الفعلية" numFmtId="1">
      <sharedItems containsMixedTypes="1" containsNumber="1" containsInteger="1" minValue="1" maxValue="59"/>
    </cacheField>
    <cacheField name="الفرق بين الفعلي والمتوقع" numFmtId="1">
      <sharedItems containsMixedTypes="1" containsNumber="1" containsInteger="1" minValue="-59" maxValue="20"/>
    </cacheField>
    <cacheField name="تجربة العميل" numFmtId="0">
      <sharedItems/>
    </cacheField>
    <cacheField name="حالة الالتزام" numFmtId="0">
      <sharedItems/>
    </cacheField>
    <cacheField name="المسئول عن التسليم" numFmtId="0">
      <sharedItems/>
    </cacheField>
    <cacheField name="نوع جهة التسليم" numFmtId="0">
      <sharedItems/>
    </cacheField>
    <cacheField name="الحالة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احمد "/>
    <s v="أفراد"/>
    <x v="0"/>
    <x v="0"/>
    <s v="هومزمارت"/>
    <n v="1"/>
    <s v="سرير"/>
    <s v="ثلاثة أدوار"/>
    <s v="كيفنج"/>
    <n v="80"/>
    <s v="ابيض"/>
    <n v="16599"/>
    <s v="مسبق الدفع"/>
    <d v="2024-09-13T00:00:00"/>
    <d v="2024-09-30T00:00:00"/>
    <d v="2024-10-03T00:00:00"/>
    <n v="17"/>
    <n v="20"/>
    <n v="3"/>
    <s v="مقبولة"/>
    <s v="متأخر"/>
    <s v="محمود على "/>
    <s v="داخلي"/>
    <s v="تم التسليم"/>
  </r>
  <r>
    <s v="طارق كمال "/>
    <s v="أفراد"/>
    <x v="1"/>
    <x v="0"/>
    <s v="هومزمارت"/>
    <n v="1"/>
    <s v="سرير"/>
    <s v="ثلاثة أدوار"/>
    <s v="كيفنج"/>
    <n v="90"/>
    <s v="اسود"/>
    <n v="17249"/>
    <s v="مسبق الدفع"/>
    <d v="2024-09-13T00:00:00"/>
    <d v="2024-09-30T00:00:00"/>
    <d v="2024-10-04T00:00:00"/>
    <n v="17"/>
    <n v="21"/>
    <n v="4"/>
    <s v="سيئة"/>
    <s v="متأخر"/>
    <s v="محمود على "/>
    <s v="داخلي"/>
    <s v="تم التسليم"/>
  </r>
  <r>
    <s v="عبد الله سيد "/>
    <s v="أفراد"/>
    <x v="2"/>
    <x v="1"/>
    <s v="هومزمارت"/>
    <n v="1"/>
    <s v="سرير"/>
    <s v="فردي"/>
    <s v="اسباني"/>
    <n v="140"/>
    <s v="اسود"/>
    <n v="11817"/>
    <s v="مسبق الدفع"/>
    <d v="2024-09-14T00:00:00"/>
    <d v="2024-10-29T00:00:00"/>
    <d v="2024-10-15T00:00:00"/>
    <n v="45"/>
    <n v="31"/>
    <n v="-14"/>
    <s v="ممتازة"/>
    <s v="مبكر"/>
    <s v="محمود على "/>
    <s v="داخلي"/>
    <s v="تم التسليم"/>
  </r>
  <r>
    <s v="ساندرا"/>
    <s v="أفراد"/>
    <x v="3"/>
    <x v="2"/>
    <s v="هومزمارت"/>
    <n v="1"/>
    <s v="ترابيزة"/>
    <s v="قهوة"/>
    <m/>
    <m/>
    <m/>
    <n v="8642"/>
    <s v="مسبق الدفع"/>
    <d v="2024-08-25T00:00:00"/>
    <d v="2024-09-07T00:00:00"/>
    <d v="2024-08-27T00:00:00"/>
    <n v="13"/>
    <n v="2"/>
    <n v="-11"/>
    <s v="ممتازة"/>
    <s v="مبكر"/>
    <s v="شركة الشحن"/>
    <s v="خارجي"/>
    <s v="تم التسليم"/>
  </r>
  <r>
    <s v="اسراء ابو العنين "/>
    <s v="أفراد"/>
    <x v="4"/>
    <x v="0"/>
    <s v="هومزمارت"/>
    <n v="1"/>
    <s v="سرير"/>
    <s v="فردي"/>
    <s v="اسباني"/>
    <n v="120"/>
    <s v="اسود"/>
    <n v="7460"/>
    <s v="مسبق الدفع"/>
    <d v="2024-09-13T00:00:00"/>
    <d v="2024-09-26T00:00:00"/>
    <d v="2024-10-03T00:00:00"/>
    <n v="13"/>
    <n v="20"/>
    <n v="7"/>
    <s v="سيئة"/>
    <s v="متأخر"/>
    <s v="محمود على "/>
    <s v="داخلي"/>
    <s v="تم التسليم"/>
  </r>
  <r>
    <s v="شيك هومز "/>
    <s v="شركات"/>
    <x v="3"/>
    <x v="3"/>
    <s v="شيك هومز "/>
    <n v="1"/>
    <s v="كنبة"/>
    <s v="سرير"/>
    <m/>
    <m/>
    <s v="رمادي"/>
    <n v="14550"/>
    <s v="مسبق الدفع"/>
    <d v="2024-08-14T00:00:00"/>
    <d v="2024-09-03T00:00:00"/>
    <d v="2024-09-05T00:00:00"/>
    <n v="20"/>
    <n v="22"/>
    <n v="2"/>
    <s v="مقبولة"/>
    <s v="متأخر"/>
    <s v="شركة الشحن"/>
    <s v="خارجي"/>
    <s v="تم التسليم"/>
  </r>
  <r>
    <s v="احمد "/>
    <s v="أفراد"/>
    <x v="3"/>
    <x v="3"/>
    <s v="فيسبوك"/>
    <n v="1"/>
    <s v="كنبة"/>
    <s v="سرير"/>
    <m/>
    <m/>
    <s v="رمادي"/>
    <n v="12000"/>
    <s v="كاش"/>
    <d v="2024-08-17T00:00:00"/>
    <d v="2024-08-20T00:00:00"/>
    <d v="2024-08-19T00:00:00"/>
    <n v="3"/>
    <n v="2"/>
    <n v="-1"/>
    <s v="ممتازة"/>
    <s v="مبكر"/>
    <s v="شركة الشحن"/>
    <s v="خارجي"/>
    <s v="تم التسليم"/>
  </r>
  <r>
    <s v="مها "/>
    <s v="أفراد"/>
    <x v="5"/>
    <x v="4"/>
    <s v="هومزمارت"/>
    <n v="1"/>
    <s v="سرير"/>
    <s v="دورين"/>
    <s v="كيفنج"/>
    <n v="140"/>
    <s v="ازرق"/>
    <n v="13099"/>
    <s v="مسبق الدفع"/>
    <d v="2024-09-13T00:00:00"/>
    <d v="2024-09-30T00:00:00"/>
    <d v="2024-10-03T00:00:00"/>
    <n v="17"/>
    <n v="20"/>
    <n v="3"/>
    <s v="مقبولة"/>
    <s v="متأخر"/>
    <s v="شركة الشحن"/>
    <s v="خارجي"/>
    <s v="تم التسليم"/>
  </r>
  <r>
    <s v="تاكى "/>
    <s v="شركات"/>
    <x v="6"/>
    <x v="0"/>
    <s v="تاكى"/>
    <n v="1"/>
    <s v="ركنة"/>
    <s v="سرير"/>
    <m/>
    <m/>
    <m/>
    <n v="22000"/>
    <s v="كاش"/>
    <d v="2024-08-19T00:00:00"/>
    <d v="2024-09-01T00:00:00"/>
    <d v="2024-09-17T00:00:00"/>
    <n v="13"/>
    <n v="29"/>
    <n v="16"/>
    <s v="سيئة"/>
    <s v="متأخر"/>
    <s v="غير معروف"/>
    <s v="غير معروف"/>
    <s v="تم التسليم"/>
  </r>
  <r>
    <s v="تاكى "/>
    <s v="شركات"/>
    <x v="6"/>
    <x v="0"/>
    <s v="تاكى"/>
    <n v="2"/>
    <s v="كنبة"/>
    <s v="سحارة"/>
    <m/>
    <m/>
    <m/>
    <n v="16000"/>
    <s v="كاش"/>
    <m/>
    <m/>
    <m/>
    <s v=""/>
    <s v=""/>
    <s v=""/>
    <s v="سيئة"/>
    <s v="متأخر"/>
    <s v="فشل التسليم "/>
    <s v="داخلي"/>
    <s v="فشل التسليم"/>
  </r>
  <r>
    <s v="تاكى "/>
    <s v="شركات"/>
    <x v="6"/>
    <x v="0"/>
    <s v="تاكى"/>
    <n v="2"/>
    <s v="كنبة"/>
    <s v="سحارة"/>
    <m/>
    <m/>
    <m/>
    <n v="6000"/>
    <s v="كاش"/>
    <d v="2024-08-25T00:00:00"/>
    <d v="2024-09-15T00:00:00"/>
    <d v="2024-09-17T00:00:00"/>
    <n v="21"/>
    <n v="23"/>
    <n v="2"/>
    <s v="مقبولة"/>
    <s v="متأخر"/>
    <s v="محمود على "/>
    <s v="داخلي"/>
    <s v="تم التسليم"/>
  </r>
  <r>
    <s v="عبير نور الدين"/>
    <s v="أفراد"/>
    <x v="7"/>
    <x v="1"/>
    <s v="فيسبوك"/>
    <n v="1"/>
    <s v="سرير"/>
    <s v="ثلاثة أدوار"/>
    <m/>
    <n v="100"/>
    <m/>
    <n v="9450"/>
    <s v="كاش"/>
    <d v="2024-09-12T00:00:00"/>
    <d v="2024-09-26T00:00:00"/>
    <m/>
    <n v="14"/>
    <s v=""/>
    <s v=""/>
    <s v="سيئة"/>
    <s v="متأخر"/>
    <s v="فشل التسليم"/>
    <s v="داخلي"/>
    <s v="فشل التسليم"/>
  </r>
  <r>
    <s v="سعيد"/>
    <s v="أفراد"/>
    <x v="8"/>
    <x v="5"/>
    <s v="هومزمارت"/>
    <n v="1"/>
    <s v="سرير"/>
    <s v="دورين"/>
    <s v="كيفنج"/>
    <n v="90"/>
    <m/>
    <n v="11455"/>
    <s v="كاش"/>
    <d v="2024-07-27T00:00:00"/>
    <m/>
    <m/>
    <s v=""/>
    <s v=""/>
    <s v=""/>
    <s v="سيئة"/>
    <s v="متأخر"/>
    <s v="فشل التسليم "/>
    <s v="داخلي"/>
    <s v="فشل التسليم"/>
  </r>
  <r>
    <s v="لينا "/>
    <s v="أفراد"/>
    <x v="9"/>
    <x v="0"/>
    <s v="هومزمارت"/>
    <n v="1"/>
    <s v="ترابيزة"/>
    <s v="قهوة"/>
    <m/>
    <m/>
    <m/>
    <n v="7849"/>
    <s v="مسبق الدفع"/>
    <d v="2024-09-04T00:00:00"/>
    <d v="2024-09-16T00:00:00"/>
    <d v="2024-09-25T00:00:00"/>
    <n v="12"/>
    <n v="21"/>
    <n v="9"/>
    <s v="سيئة"/>
    <s v="متأخر"/>
    <s v="شركة الشحن"/>
    <s v="خارجي"/>
    <s v="مرتجع"/>
  </r>
  <r>
    <s v="فيصل نعيم "/>
    <s v="أفراد"/>
    <x v="10"/>
    <x v="0"/>
    <s v="اوسكار راتن "/>
    <n v="2"/>
    <s v="سرير"/>
    <s v="دورين"/>
    <s v="كيفنج"/>
    <n v="120"/>
    <s v="اسود"/>
    <n v="9700"/>
    <s v="كاش"/>
    <d v="2024-09-03T00:00:00"/>
    <d v="2024-09-16T00:00:00"/>
    <d v="2024-09-15T00:00:00"/>
    <n v="13"/>
    <n v="12"/>
    <n v="-1"/>
    <s v="ممتازة"/>
    <s v="مبكر"/>
    <s v="محمود على "/>
    <s v="داخلي"/>
    <s v="تم التسليم"/>
  </r>
  <r>
    <s v="شيك هومز "/>
    <s v="شركات"/>
    <x v="3"/>
    <x v="3"/>
    <s v="شيك هومز "/>
    <n v="1"/>
    <s v="سرير"/>
    <s v="دورين"/>
    <s v="كينج"/>
    <n v="100"/>
    <m/>
    <n v="9208"/>
    <s v="كاش"/>
    <d v="2024-09-01T00:00:00"/>
    <d v="2024-09-19T00:00:00"/>
    <d v="2024-09-21T00:00:00"/>
    <n v="18"/>
    <n v="20"/>
    <n v="2"/>
    <s v="مقبولة"/>
    <s v="متأخر"/>
    <s v="محمود على "/>
    <s v="داخلي"/>
    <s v="تم التسليم"/>
  </r>
  <r>
    <s v="احمد "/>
    <s v="أفراد"/>
    <x v="4"/>
    <x v="0"/>
    <s v="هومزمارت"/>
    <n v="4"/>
    <s v="سرير"/>
    <s v="فردي"/>
    <s v="فورجينا"/>
    <n v="80"/>
    <s v="ابيض"/>
    <n v="7987"/>
    <s v="مسبق الدفع"/>
    <d v="2024-09-06T00:00:00"/>
    <d v="2024-09-16T00:00:00"/>
    <d v="2024-09-21T00:00:00"/>
    <n v="10"/>
    <n v="15"/>
    <n v="5"/>
    <s v="سيئة"/>
    <s v="متأخر"/>
    <s v="محمود على "/>
    <s v="داخلي"/>
    <s v="تم التسليم"/>
  </r>
  <r>
    <s v="تاكى"/>
    <s v="شركات"/>
    <x v="6"/>
    <x v="0"/>
    <s v="تاكى"/>
    <n v="2"/>
    <s v="فوتية"/>
    <m/>
    <s v="فنيسيا"/>
    <m/>
    <m/>
    <n v="9300"/>
    <s v="كاش"/>
    <d v="2024-09-04T00:00:00"/>
    <d v="2024-09-15T00:00:00"/>
    <d v="2024-09-17T00:00:00"/>
    <n v="11"/>
    <n v="13"/>
    <n v="2"/>
    <s v="مقبولة"/>
    <s v="متأخر"/>
    <s v="محمود على "/>
    <s v="داخلي"/>
    <s v="تم التسليم"/>
  </r>
  <r>
    <s v="احمد "/>
    <s v="أفراد"/>
    <x v="4"/>
    <x v="0"/>
    <s v="هومزمارت"/>
    <n v="4"/>
    <s v="سرير"/>
    <s v="فردي"/>
    <s v="فورجينا"/>
    <n v="80"/>
    <s v="ابيض"/>
    <n v="7987"/>
    <s v="مسبق الدفع"/>
    <d v="2024-09-06T00:00:00"/>
    <d v="2024-09-16T00:00:00"/>
    <d v="2024-09-21T00:00:00"/>
    <n v="10"/>
    <n v="15"/>
    <n v="5"/>
    <s v="سيئة"/>
    <s v="متأخر"/>
    <s v="محمود على "/>
    <s v="داخلي"/>
    <s v="تم التسليم"/>
  </r>
  <r>
    <s v="احمد "/>
    <s v="أفراد"/>
    <x v="4"/>
    <x v="0"/>
    <s v="هومزمارت"/>
    <n v="4"/>
    <s v="سرير"/>
    <s v="فردي"/>
    <s v="فورجينا"/>
    <n v="80"/>
    <s v="ابيض"/>
    <n v="7987"/>
    <s v="مسبق الدفع"/>
    <d v="2024-09-06T00:00:00"/>
    <d v="2024-09-16T00:00:00"/>
    <d v="2024-09-21T00:00:00"/>
    <n v="10"/>
    <n v="15"/>
    <n v="5"/>
    <s v="سيئة"/>
    <s v="متأخر"/>
    <s v="محمود على "/>
    <s v="داخلي"/>
    <s v="تم التسليم"/>
  </r>
  <r>
    <s v="احمد "/>
    <s v="أفراد"/>
    <x v="4"/>
    <x v="0"/>
    <s v="هومزمارت"/>
    <n v="4"/>
    <s v="سرير"/>
    <s v="فردي"/>
    <s v="فورجينا"/>
    <n v="80"/>
    <s v="ابيض"/>
    <n v="7987"/>
    <s v="مسبق الدفع"/>
    <d v="2024-09-06T00:00:00"/>
    <d v="2024-09-16T00:00:00"/>
    <d v="2024-09-21T00:00:00"/>
    <n v="10"/>
    <n v="15"/>
    <n v="5"/>
    <s v="سيئة"/>
    <s v="متأخر"/>
    <s v="محمود على "/>
    <s v="داخلي"/>
    <s v="تم التسليم"/>
  </r>
  <r>
    <s v="صفاء"/>
    <s v="أفراد"/>
    <x v="1"/>
    <x v="0"/>
    <s v="هومزمارت"/>
    <n v="1"/>
    <s v="ترابيزة"/>
    <s v="قهوة"/>
    <m/>
    <m/>
    <m/>
    <n v="8849"/>
    <s v="مسبق الدفع"/>
    <d v="2024-09-03T00:00:00"/>
    <d v="2024-10-16T00:00:00"/>
    <m/>
    <n v="43"/>
    <s v=""/>
    <s v=""/>
    <s v="سيئة"/>
    <s v="متأخر"/>
    <s v="فشل التسليم"/>
    <s v="داخلي"/>
    <s v="فشل التسليم"/>
  </r>
  <r>
    <s v="ellho elkafy"/>
    <s v="شركات"/>
    <x v="11"/>
    <x v="0"/>
    <s v="هومزمارت"/>
    <n v="1"/>
    <s v="سرير"/>
    <s v="دورين"/>
    <s v="كينج"/>
    <n v="80"/>
    <m/>
    <n v="11199"/>
    <s v="كاش"/>
    <d v="2024-09-04T00:00:00"/>
    <d v="2024-09-18T00:00:00"/>
    <m/>
    <n v="14"/>
    <s v=""/>
    <s v=""/>
    <s v="سيئة"/>
    <s v="متأخر"/>
    <s v="فشل التسليم"/>
    <s v="داخلي"/>
    <s v="فشل التسليم"/>
  </r>
  <r>
    <s v="شيك هومز "/>
    <s v="شركات"/>
    <x v="3"/>
    <x v="3"/>
    <s v="شيك هومز "/>
    <n v="1"/>
    <s v="سرير"/>
    <s v="دورين"/>
    <s v="كينج"/>
    <n v="100"/>
    <m/>
    <n v="9208"/>
    <s v="كاش"/>
    <d v="2024-09-01T00:00:00"/>
    <d v="2024-09-19T00:00:00"/>
    <d v="2024-09-21T00:00:00"/>
    <n v="18"/>
    <n v="20"/>
    <n v="2"/>
    <s v="مقبولة"/>
    <s v="متأخر"/>
    <s v="محمود على "/>
    <s v="داخلي"/>
    <s v="تم التسليم"/>
  </r>
  <r>
    <s v="زينا "/>
    <s v="أفراد"/>
    <x v="8"/>
    <x v="5"/>
    <s v="هومزمارت"/>
    <n v="1"/>
    <s v="سرير"/>
    <s v="دورين"/>
    <s v="نوفال"/>
    <n v="100"/>
    <m/>
    <n v="12833"/>
    <s v="كاش"/>
    <d v="2024-08-16T00:00:00"/>
    <d v="2024-08-31T00:00:00"/>
    <m/>
    <n v="15"/>
    <s v=""/>
    <s v=""/>
    <s v="سيئة"/>
    <s v="متأخر"/>
    <s v="فشل التسليم "/>
    <s v="داخلي"/>
    <s v="فشل التسليم"/>
  </r>
  <r>
    <s v="اوسكار راتن"/>
    <s v="شركات"/>
    <x v="12"/>
    <x v="6"/>
    <s v="اوسكار راتن "/>
    <n v="2"/>
    <s v="سرير"/>
    <s v="فردي"/>
    <s v="فورجينا"/>
    <n v="120"/>
    <s v="ابيض"/>
    <n v="4020"/>
    <s v="حساب شركه"/>
    <d v="2024-09-12T00:00:00"/>
    <d v="2024-09-21T00:00:00"/>
    <d v="2024-09-22T00:00:00"/>
    <n v="9"/>
    <n v="10"/>
    <n v="1"/>
    <s v="مقبولة"/>
    <s v="متأخر"/>
    <s v="محمود على "/>
    <s v="داخلي"/>
    <s v="تم التسليم"/>
  </r>
  <r>
    <s v="اوسكار راتن"/>
    <s v="شركات"/>
    <x v="12"/>
    <x v="6"/>
    <s v="اوسكار راتن "/>
    <n v="2"/>
    <s v="سرير"/>
    <s v="فردي"/>
    <s v="ارفيل"/>
    <n v="120"/>
    <s v="اسود"/>
    <n v="4020"/>
    <s v="مسبق الدفع"/>
    <d v="2024-09-12T00:00:00"/>
    <d v="2024-09-21T00:00:00"/>
    <d v="2024-09-22T00:00:00"/>
    <n v="9"/>
    <n v="10"/>
    <n v="1"/>
    <s v="مقبولة"/>
    <s v="متأخر"/>
    <s v="محمود على "/>
    <s v="داخلي"/>
    <s v="تم التسليم"/>
  </r>
  <r>
    <s v="على رشوان "/>
    <s v="أفراد"/>
    <x v="13"/>
    <x v="0"/>
    <s v="هومزمارت"/>
    <n v="1"/>
    <s v="سرير"/>
    <s v="دورين"/>
    <s v="نوفال"/>
    <n v="80"/>
    <m/>
    <n v="10499"/>
    <s v="كاش"/>
    <d v="2024-09-01T00:00:00"/>
    <d v="2024-09-16T00:00:00"/>
    <d v="2024-09-08T00:00:00"/>
    <n v="15"/>
    <n v="7"/>
    <n v="-8"/>
    <s v="ممتازة"/>
    <s v="مبكر"/>
    <s v="شركة الشحن"/>
    <s v="خارجي"/>
    <s v="تم التسليم"/>
  </r>
  <r>
    <s v="يوسف شناوى"/>
    <s v="أفراد"/>
    <x v="14"/>
    <x v="7"/>
    <s v="هومزمارت"/>
    <n v="1"/>
    <s v="ترابيزة"/>
    <s v="قهوة"/>
    <m/>
    <m/>
    <m/>
    <n v="8349"/>
    <s v="مسبق الدفع"/>
    <d v="2024-09-14T00:00:00"/>
    <d v="2024-09-22T00:00:00"/>
    <d v="2024-09-24T00:00:00"/>
    <n v="8"/>
    <n v="10"/>
    <n v="2"/>
    <s v="مقبولة"/>
    <s v="متأخر"/>
    <s v="شركة الشحن"/>
    <s v="خارجي"/>
    <s v="تم التسليم"/>
  </r>
  <r>
    <s v="yilmaz"/>
    <s v="أفراد"/>
    <x v="3"/>
    <x v="3"/>
    <s v="هومزمارت"/>
    <n v="1"/>
    <s v="سرير"/>
    <s v="فردي"/>
    <m/>
    <m/>
    <m/>
    <n v="7228"/>
    <s v="مسبق الدفع"/>
    <d v="2024-08-25T00:00:00"/>
    <d v="2024-09-03T00:00:00"/>
    <d v="2024-09-10T00:00:00"/>
    <n v="9"/>
    <n v="16"/>
    <n v="7"/>
    <s v="سيئة"/>
    <s v="متأخر"/>
    <s v="شركة الشحن"/>
    <s v="خارجي"/>
    <s v="تم التسليم"/>
  </r>
  <r>
    <s v="رنا "/>
    <s v="أفراد"/>
    <x v="15"/>
    <x v="0"/>
    <s v="هومزمارت"/>
    <n v="1"/>
    <s v="ترابيزة"/>
    <s v="قهوة"/>
    <m/>
    <m/>
    <m/>
    <n v="7928"/>
    <s v="كاش"/>
    <d v="2024-09-12T00:00:00"/>
    <d v="2024-09-26T00:00:00"/>
    <m/>
    <n v="14"/>
    <s v=""/>
    <s v=""/>
    <s v="سيئة"/>
    <s v="متأخر"/>
    <s v="شركة الشحن"/>
    <s v="خارجي"/>
    <s v="تم التسليم"/>
  </r>
  <r>
    <s v="حسن حازم"/>
    <s v="أفراد"/>
    <x v="16"/>
    <x v="1"/>
    <s v="هومزمارت"/>
    <n v="1"/>
    <s v="سرير"/>
    <s v="فردي"/>
    <s v="اسباني"/>
    <n v="120"/>
    <m/>
    <n v="10987"/>
    <s v="مسبق الدفع"/>
    <d v="2024-09-09T00:00:00"/>
    <d v="2024-09-17T00:00:00"/>
    <d v="2024-09-21T00:00:00"/>
    <n v="8"/>
    <n v="12"/>
    <n v="4"/>
    <s v="سيئة"/>
    <s v="متأخر"/>
    <s v="محمود على "/>
    <s v="داخلي"/>
    <s v="تم التسليم"/>
  </r>
  <r>
    <s v="احمد فخرى "/>
    <s v="أفراد"/>
    <x v="16"/>
    <x v="1"/>
    <s v="هومزمارت"/>
    <n v="1"/>
    <s v="سرير"/>
    <s v="فردي"/>
    <s v="نوفال"/>
    <n v="80"/>
    <s v="ابيض"/>
    <n v="7295"/>
    <s v="كاش"/>
    <d v="2024-09-05T00:00:00"/>
    <d v="2024-09-14T00:00:00"/>
    <m/>
    <n v="9"/>
    <s v=""/>
    <s v=""/>
    <s v="سيئة"/>
    <s v="متأخر"/>
    <s v="فشل التسليم"/>
    <s v="داخلي"/>
    <s v="فشل التسليم"/>
  </r>
  <r>
    <s v="وائل صادق"/>
    <s v="أفراد"/>
    <x v="4"/>
    <x v="0"/>
    <s v="هومزمارت"/>
    <n v="1"/>
    <s v="سرير"/>
    <s v="فردي"/>
    <s v="كورين"/>
    <n v="140"/>
    <s v="دهبي"/>
    <n v="9528"/>
    <s v="مسبق الدفع"/>
    <d v="2024-09-13T00:00:00"/>
    <d v="2024-09-26T00:00:00"/>
    <d v="2024-10-03T00:00:00"/>
    <n v="13"/>
    <n v="20"/>
    <n v="7"/>
    <s v="سيئة"/>
    <s v="متأخر"/>
    <s v="محمود على "/>
    <s v="داخلي"/>
    <s v="تم التسليم"/>
  </r>
  <r>
    <s v="حسن مغرب "/>
    <s v="أفراد"/>
    <x v="16"/>
    <x v="1"/>
    <s v="هومزمارت"/>
    <n v="1"/>
    <s v="سرير"/>
    <s v="دورين"/>
    <s v="كيفنج"/>
    <n v="120"/>
    <s v="رمادي"/>
    <n v="12999"/>
    <s v="مسبق الدفع"/>
    <d v="2024-09-14T00:00:00"/>
    <d v="2024-09-27T00:00:00"/>
    <d v="2024-10-02T00:00:00"/>
    <n v="13"/>
    <n v="18"/>
    <n v="5"/>
    <s v="سيئة"/>
    <s v="متأخر"/>
    <s v="محمود على "/>
    <s v="داخلي"/>
    <s v="تم التسليم"/>
  </r>
  <r>
    <s v="مصطفي غنيم "/>
    <s v="أفراد"/>
    <x v="3"/>
    <x v="8"/>
    <s v="هومزمارت"/>
    <n v="1"/>
    <s v="سرير"/>
    <s v="دورين"/>
    <s v="كيفنج"/>
    <n v="120"/>
    <s v="رمادي"/>
    <n v="12999"/>
    <s v="مسبق الدفع"/>
    <d v="2024-09-14T00:00:00"/>
    <d v="2024-11-20T00:00:00"/>
    <d v="2024-10-17T00:00:00"/>
    <n v="67"/>
    <n v="33"/>
    <n v="-34"/>
    <s v="ممتازة"/>
    <s v="مبكر"/>
    <s v="شركة الشحن"/>
    <s v="خارجي"/>
    <s v="تم التسليم"/>
  </r>
  <r>
    <s v="هشام بسيونى "/>
    <s v="أفراد"/>
    <x v="17"/>
    <x v="1"/>
    <s v="هومزمارت"/>
    <n v="2"/>
    <s v="سرير"/>
    <s v="دورين"/>
    <s v="كيفنج"/>
    <n v="100"/>
    <s v="اسود"/>
    <n v="11949"/>
    <s v="كاش"/>
    <d v="2024-09-12T00:00:00"/>
    <d v="2024-09-29T00:00:00"/>
    <d v="2024-10-02T00:00:00"/>
    <n v="17"/>
    <n v="20"/>
    <n v="3"/>
    <s v="مقبولة"/>
    <s v="متأخر"/>
    <s v="محمود على "/>
    <s v="داخلي"/>
    <s v="تم التسليم"/>
  </r>
  <r>
    <s v="هشام بسيونى "/>
    <s v="أفراد"/>
    <x v="17"/>
    <x v="1"/>
    <s v="هومزمارت"/>
    <n v="2"/>
    <s v="سرير"/>
    <s v="دورين"/>
    <s v="كيفنج"/>
    <n v="100"/>
    <s v="اسود"/>
    <n v="11949"/>
    <s v="كاش"/>
    <d v="2024-09-12T00:00:00"/>
    <d v="2024-09-29T00:00:00"/>
    <d v="2024-10-02T00:00:00"/>
    <n v="17"/>
    <n v="20"/>
    <n v="3"/>
    <s v="مقبولة"/>
    <s v="متأخر"/>
    <s v="محمود على "/>
    <s v="داخلي"/>
    <s v="تم التسليم"/>
  </r>
  <r>
    <s v="ساره وجيه "/>
    <s v="أفراد"/>
    <x v="3"/>
    <x v="2"/>
    <s v="هومزمارت"/>
    <n v="1"/>
    <s v="سرير"/>
    <s v="دورين"/>
    <s v="كيفنج"/>
    <n v="80"/>
    <s v="ابيض"/>
    <n v="10999"/>
    <s v="مسبق الدفع"/>
    <d v="2024-09-13T00:00:00"/>
    <d v="2024-09-30T00:00:00"/>
    <d v="2024-10-16T00:00:00"/>
    <n v="17"/>
    <n v="33"/>
    <n v="16"/>
    <s v="سيئة"/>
    <s v="متأخر"/>
    <s v="شركة الشحن"/>
    <s v="خارجي"/>
    <s v="تم التسليم"/>
  </r>
  <r>
    <s v="اسراء ابراهيم "/>
    <s v="أفراد"/>
    <x v="16"/>
    <x v="1"/>
    <s v="هومزمارت"/>
    <n v="1"/>
    <s v="سرير"/>
    <s v="دورين"/>
    <s v="كيفنج"/>
    <n v="80"/>
    <s v="ابيض"/>
    <n v="10999"/>
    <s v="مسبق الدفع"/>
    <d v="2024-09-13T00:00:00"/>
    <d v="2024-09-30T00:00:00"/>
    <d v="2024-10-15T00:00:00"/>
    <n v="17"/>
    <n v="32"/>
    <n v="15"/>
    <s v="سيئة"/>
    <s v="متأخر"/>
    <s v="محمود على "/>
    <s v="داخلي"/>
    <s v="تم التسليم"/>
  </r>
  <r>
    <s v="بسام الشربينى "/>
    <s v="أفراد"/>
    <x v="16"/>
    <x v="1"/>
    <s v="هومزمارت"/>
    <n v="1"/>
    <s v="سرير"/>
    <s v="دورين"/>
    <s v="كينج"/>
    <n v="120"/>
    <s v="بنفسجى"/>
    <n v="13849"/>
    <s v="مسبق الدفع"/>
    <d v="2024-09-13T00:00:00"/>
    <d v="2024-09-30T00:00:00"/>
    <d v="2024-10-20T00:00:00"/>
    <n v="17"/>
    <n v="37"/>
    <n v="20"/>
    <s v="سيئة"/>
    <s v="متأخر"/>
    <s v="محمود على "/>
    <s v="داخلي"/>
    <s v="تم التسليم"/>
  </r>
  <r>
    <s v="صفاء الحكيم"/>
    <s v="أفراد"/>
    <x v="5"/>
    <x v="4"/>
    <s v="هومزمارت"/>
    <n v="1"/>
    <s v="سرير"/>
    <s v="منطبق"/>
    <m/>
    <m/>
    <s v="اسود"/>
    <n v="9399"/>
    <s v="مسبق الدفع"/>
    <d v="2024-09-14T00:00:00"/>
    <d v="2024-09-22T00:00:00"/>
    <m/>
    <n v="8"/>
    <s v=""/>
    <s v=""/>
    <s v="سيئة"/>
    <s v="متأخر"/>
    <s v="فشل التسليم "/>
    <s v="داخلي"/>
    <s v="فشل التسليم"/>
  </r>
  <r>
    <s v="هبه عبد الفتاح "/>
    <s v="أفراد"/>
    <x v="4"/>
    <x v="0"/>
    <s v="هومزمارت"/>
    <n v="1"/>
    <s v="كنبة"/>
    <s v="سرير"/>
    <m/>
    <m/>
    <s v="اسود"/>
    <n v="21999"/>
    <s v="مسبق الدفع"/>
    <d v="2024-09-13T00:00:00"/>
    <d v="2024-09-30T00:00:00"/>
    <m/>
    <n v="17"/>
    <s v=""/>
    <s v=""/>
    <s v="سيئة"/>
    <s v="متأخر"/>
    <s v="محمود على "/>
    <s v="داخلي"/>
    <s v="تم التسليم"/>
  </r>
  <r>
    <s v="حاتم العيسوي "/>
    <s v="أفراد"/>
    <x v="16"/>
    <x v="1"/>
    <s v="هومزمارت"/>
    <n v="1"/>
    <s v="سرير"/>
    <s v="منطبق"/>
    <m/>
    <m/>
    <s v="اسود"/>
    <n v="9399"/>
    <s v="مسبق الدفع"/>
    <d v="2024-09-13T00:00:00"/>
    <d v="2024-09-24T00:00:00"/>
    <d v="2024-09-30T00:00:00"/>
    <n v="11"/>
    <n v="17"/>
    <n v="6"/>
    <s v="سيئة"/>
    <s v="متأخر"/>
    <s v="شركة الشحن"/>
    <s v="خارجي"/>
    <s v="تم التسليم"/>
  </r>
  <r>
    <s v="ميار خورشد"/>
    <s v="أفراد"/>
    <x v="16"/>
    <x v="1"/>
    <s v="هومزمارت"/>
    <n v="1"/>
    <s v="سرير"/>
    <s v="منطبق"/>
    <m/>
    <m/>
    <s v="اسود"/>
    <n v="9399"/>
    <s v="مسبق الدفع"/>
    <d v="2024-09-14T00:00:00"/>
    <d v="2024-10-29T00:00:00"/>
    <d v="2024-10-15T00:00:00"/>
    <n v="45"/>
    <n v="31"/>
    <n v="-14"/>
    <s v="ممتازة"/>
    <s v="مبكر"/>
    <s v="محمود على "/>
    <s v="داخلي"/>
    <s v="تم التسليم"/>
  </r>
  <r>
    <s v="ديفد بهجت "/>
    <s v="أفراد"/>
    <x v="18"/>
    <x v="1"/>
    <s v="هومزمارت"/>
    <n v="1"/>
    <s v="ترابيزة"/>
    <s v="قهوة"/>
    <m/>
    <m/>
    <m/>
    <n v="8349"/>
    <s v="مسبق الدفع"/>
    <d v="2024-09-14T00:00:00"/>
    <d v="2024-10-16T00:00:00"/>
    <d v="2024-10-21T00:00:00"/>
    <n v="32"/>
    <n v="37"/>
    <n v="5"/>
    <s v="سيئة"/>
    <s v="متأخر"/>
    <s v="محمود على "/>
    <s v="داخلي"/>
    <s v="تم التسليم"/>
  </r>
  <r>
    <s v="اياد "/>
    <s v="أفراد"/>
    <x v="9"/>
    <x v="0"/>
    <s v="هومزمارت"/>
    <n v="1"/>
    <s v="ترابيزة"/>
    <s v="قهوة"/>
    <m/>
    <m/>
    <m/>
    <n v="7849"/>
    <s v="مسبق الدفع"/>
    <d v="2024-09-14T00:00:00"/>
    <d v="2024-10-29T00:00:00"/>
    <d v="2024-10-30T00:00:00"/>
    <n v="45"/>
    <n v="46"/>
    <n v="1"/>
    <s v="مقبولة"/>
    <s v="متأخر"/>
    <s v="محمود على "/>
    <s v="داخلي"/>
    <s v="تم التسليم"/>
  </r>
  <r>
    <s v="محمود"/>
    <s v="أفراد"/>
    <x v="19"/>
    <x v="7"/>
    <s v="هومزمارت"/>
    <n v="1"/>
    <s v="سرير"/>
    <s v="منطبق"/>
    <m/>
    <m/>
    <s v="اسود"/>
    <n v="10160"/>
    <s v="كاش"/>
    <d v="2024-07-28T00:00:00"/>
    <m/>
    <d v="2024-08-11T00:00:00"/>
    <s v=""/>
    <n v="14"/>
    <s v=""/>
    <s v="سيئة"/>
    <s v="متأخر"/>
    <s v="شركة الشحن"/>
    <s v="خارجي"/>
    <s v="تم التسليم"/>
  </r>
  <r>
    <s v="خالد عبد القوى "/>
    <s v="أفراد"/>
    <x v="20"/>
    <x v="1"/>
    <s v="هومزمارت"/>
    <n v="1"/>
    <s v="سرير"/>
    <s v="منطبق"/>
    <m/>
    <m/>
    <s v="ابيض"/>
    <n v="10160"/>
    <s v="مسبق الدفع"/>
    <d v="2024-07-27T00:00:00"/>
    <m/>
    <d v="2024-08-10T00:00:00"/>
    <s v=""/>
    <n v="14"/>
    <s v=""/>
    <s v="سيئة"/>
    <s v="متأخر"/>
    <s v="شركة الشحن"/>
    <s v="خارجي"/>
    <s v="تم التسليم"/>
  </r>
  <r>
    <s v="كينج سونا "/>
    <s v="شركات"/>
    <x v="0"/>
    <x v="0"/>
    <s v="هومزمارت"/>
    <n v="1"/>
    <s v="ترابيزة"/>
    <s v="قهوة"/>
    <m/>
    <m/>
    <m/>
    <n v="8349"/>
    <s v="مسبق الدفع"/>
    <d v="2024-09-14T00:00:00"/>
    <d v="2024-10-29T00:00:00"/>
    <d v="2024-10-19T00:00:00"/>
    <n v="45"/>
    <n v="35"/>
    <n v="-10"/>
    <s v="ممتازة"/>
    <s v="مبكر"/>
    <s v="محمود على "/>
    <s v="داخلي"/>
    <s v="تم التسليم"/>
  </r>
  <r>
    <s v="احمد خالد "/>
    <s v="أفراد"/>
    <x v="21"/>
    <x v="0"/>
    <s v="هومزمارت"/>
    <n v="2"/>
    <s v="سرير"/>
    <s v="فردى"/>
    <s v="فورجينا"/>
    <n v="120"/>
    <s v="ابيض"/>
    <n v="17886"/>
    <s v="مسبق الدفع"/>
    <d v="2024-09-14T00:00:00"/>
    <d v="2024-10-29T00:00:00"/>
    <m/>
    <n v="45"/>
    <s v=""/>
    <s v=""/>
    <s v="سيئة"/>
    <s v="متأخر"/>
    <s v="فشل التسليم"/>
    <s v="داخلي"/>
    <s v="فشل التسليم"/>
  </r>
  <r>
    <s v="احمد خالد "/>
    <s v="أفراد"/>
    <x v="21"/>
    <x v="0"/>
    <s v="هومزمارت"/>
    <n v="2"/>
    <s v="سرير"/>
    <s v="فردى"/>
    <s v="فورجينا"/>
    <n v="120"/>
    <s v="ابيض"/>
    <n v="17886"/>
    <s v="مسبق الدفع"/>
    <d v="2024-09-14T00:00:00"/>
    <d v="2024-10-29T00:00:00"/>
    <m/>
    <n v="45"/>
    <s v=""/>
    <s v=""/>
    <s v="سيئة"/>
    <s v="متأخر"/>
    <s v="فشل التسليم"/>
    <s v="داخلي"/>
    <s v="فشل التسليم"/>
  </r>
  <r>
    <s v="ساره"/>
    <s v="أفراد"/>
    <x v="4"/>
    <x v="0"/>
    <s v="هومزمارت"/>
    <n v="2"/>
    <s v="سرير"/>
    <s v="فردي"/>
    <s v="اسباني"/>
    <n v="120"/>
    <s v="ابيض"/>
    <n v="10987"/>
    <s v="مسبق الدفع"/>
    <d v="2024-09-14T00:00:00"/>
    <d v="2024-10-29T00:00:00"/>
    <d v="2024-10-13T00:00:00"/>
    <n v="45"/>
    <n v="29"/>
    <n v="-16"/>
    <s v="ممتازة"/>
    <s v="مبكر"/>
    <s v="محمود على "/>
    <s v="داخلي"/>
    <s v="تم التسليم"/>
  </r>
  <r>
    <s v="ساره"/>
    <s v="أفراد"/>
    <x v="4"/>
    <x v="0"/>
    <s v="هومزمارت"/>
    <n v="2"/>
    <s v="سرير"/>
    <s v="فردي"/>
    <s v="اسباني"/>
    <n v="120"/>
    <s v="ابيض"/>
    <n v="10987"/>
    <s v="مسبق الدفع"/>
    <d v="2024-09-14T00:00:00"/>
    <d v="2024-10-29T00:00:00"/>
    <d v="2024-10-13T00:00:00"/>
    <n v="45"/>
    <n v="29"/>
    <n v="-16"/>
    <s v="ممتازة"/>
    <s v="مبكر"/>
    <s v="محمود على "/>
    <s v="داخلي"/>
    <s v="تم التسليم"/>
  </r>
  <r>
    <s v="احمد ايمن "/>
    <s v="أفراد"/>
    <x v="22"/>
    <x v="6"/>
    <s v="هومزمارت"/>
    <n v="1"/>
    <s v="ترابيزة"/>
    <s v="قهوة"/>
    <m/>
    <m/>
    <m/>
    <n v="10319"/>
    <s v="مسبق الدفع"/>
    <d v="2024-09-14T00:00:00"/>
    <d v="2024-10-29T00:00:00"/>
    <d v="2024-10-19T00:00:00"/>
    <n v="45"/>
    <n v="35"/>
    <n v="-10"/>
    <s v="ممتازة"/>
    <s v="مبكر"/>
    <s v="محمود على "/>
    <s v="داخلي"/>
    <s v="تم التسليم"/>
  </r>
  <r>
    <s v="على السيد "/>
    <s v="أفراد"/>
    <x v="0"/>
    <x v="0"/>
    <s v="هومزمارت"/>
    <n v="1"/>
    <s v="سرير"/>
    <s v="دورين"/>
    <s v="نوفال"/>
    <n v="90"/>
    <s v="اسود"/>
    <n v="5999"/>
    <s v="مسبق الدفع"/>
    <d v="2024-09-12T00:00:00"/>
    <d v="2024-09-29T00:00:00"/>
    <m/>
    <n v="17"/>
    <s v=""/>
    <s v=""/>
    <s v="سيئة"/>
    <s v="متأخر"/>
    <s v="غير معروف"/>
    <s v="غير معروف"/>
    <s v="تم التسليم"/>
  </r>
  <r>
    <s v="حسام عبدون"/>
    <s v="أفراد"/>
    <x v="3"/>
    <x v="2"/>
    <s v="هومزمارت"/>
    <n v="1"/>
    <s v="كنبة"/>
    <s v="سرير"/>
    <m/>
    <m/>
    <s v="اسود"/>
    <n v="21999"/>
    <s v="مسبق الدفع"/>
    <d v="2024-09-14T00:00:00"/>
    <d v="2024-11-20T00:00:00"/>
    <m/>
    <n v="67"/>
    <s v=""/>
    <s v=""/>
    <s v="سيئة"/>
    <s v="متأخر"/>
    <s v="فشل التسليم"/>
    <s v="داخلي"/>
    <s v="فشل التسليم"/>
  </r>
  <r>
    <s v="رامى "/>
    <s v="أفراد"/>
    <x v="0"/>
    <x v="0"/>
    <s v="هومزمارت"/>
    <n v="1"/>
    <s v="سرير"/>
    <s v="دورين"/>
    <s v="نوفال"/>
    <n v="100"/>
    <s v="رمادي"/>
    <n v="12399"/>
    <s v="مسبق الدفع"/>
    <d v="2024-09-14T00:00:00"/>
    <d v="2024-11-20T00:00:00"/>
    <d v="2024-10-01T00:00:00"/>
    <n v="67"/>
    <n v="17"/>
    <n v="-50"/>
    <s v="ممتازة"/>
    <s v="مبكر"/>
    <s v="شركة الشحن"/>
    <s v="خارجي"/>
    <s v="تم التسليم"/>
  </r>
  <r>
    <s v="رحاب"/>
    <s v="أفراد"/>
    <x v="4"/>
    <x v="0"/>
    <s v="هومزمارت"/>
    <n v="1"/>
    <s v="كنبة"/>
    <s v="سرير"/>
    <m/>
    <m/>
    <s v="اسود"/>
    <n v="21999"/>
    <s v="مسبق الدفع"/>
    <d v="2024-09-14T00:00:00"/>
    <d v="2024-11-20T00:00:00"/>
    <d v="2024-10-09T00:00:00"/>
    <n v="67"/>
    <n v="25"/>
    <n v="-42"/>
    <s v="ممتازة"/>
    <s v="مبكر"/>
    <s v="محمود على "/>
    <s v="داخلي"/>
    <s v="تم التسليم"/>
  </r>
  <r>
    <s v="فؤاد المنسي "/>
    <s v="أفراد"/>
    <x v="9"/>
    <x v="0"/>
    <s v="هومزمارت"/>
    <n v="1"/>
    <s v="سرير"/>
    <s v="دورين"/>
    <s v="نوفال"/>
    <n v="80"/>
    <s v="ابيض"/>
    <n v="10999"/>
    <s v="مسبق الدفع"/>
    <d v="2024-09-14T00:00:00"/>
    <d v="2024-11-20T00:00:00"/>
    <d v="2024-10-16T00:00:00"/>
    <n v="67"/>
    <n v="32"/>
    <n v="-35"/>
    <s v="ممتازة"/>
    <s v="مبكر"/>
    <s v="محمود على "/>
    <s v="داخلي"/>
    <s v="تم التسليم"/>
  </r>
  <r>
    <s v="mohannad"/>
    <s v="أفراد"/>
    <x v="1"/>
    <x v="0"/>
    <s v="هومزمارت"/>
    <n v="1"/>
    <s v="سرير"/>
    <s v="دورين"/>
    <s v="كيفنج"/>
    <n v="80"/>
    <s v="ابيض"/>
    <n v="10999"/>
    <s v="مسبق الدفع"/>
    <d v="2024-09-15T00:00:00"/>
    <d v="2024-11-20T00:00:00"/>
    <d v="2024-10-16T00:00:00"/>
    <n v="66"/>
    <n v="31"/>
    <n v="-35"/>
    <s v="ممتازة"/>
    <s v="مبكر"/>
    <s v="محمود على "/>
    <s v="داخلي"/>
    <s v="تم التسليم"/>
  </r>
  <r>
    <s v="mohannad"/>
    <s v="أفراد"/>
    <x v="1"/>
    <x v="0"/>
    <s v="هومزمارت"/>
    <n v="1"/>
    <s v="سرير"/>
    <s v="دورين"/>
    <s v="كيفنج"/>
    <n v="80"/>
    <s v="ابيض"/>
    <n v="10999"/>
    <s v="مسبق الدفع"/>
    <d v="2024-09-15T00:00:00"/>
    <d v="2024-11-20T00:00:00"/>
    <d v="2024-10-16T00:00:00"/>
    <n v="66"/>
    <n v="31"/>
    <n v="-35"/>
    <s v="ممتازة"/>
    <s v="مبكر"/>
    <s v="محمود على "/>
    <s v="داخلي"/>
    <s v="تم التسليم"/>
  </r>
  <r>
    <s v="Mohamed Ayman"/>
    <s v="أفراد"/>
    <x v="23"/>
    <x v="0"/>
    <s v="هومزمارت"/>
    <n v="1"/>
    <s v="كنبة"/>
    <s v="4*1"/>
    <m/>
    <m/>
    <s v="اسود"/>
    <n v="21999"/>
    <s v="مسبق الدفع"/>
    <d v="2024-09-15T00:00:00"/>
    <d v="2024-11-20T00:00:00"/>
    <d v="2024-10-19T00:00:00"/>
    <n v="66"/>
    <n v="34"/>
    <n v="-32"/>
    <s v="ممتازة"/>
    <s v="مبكر"/>
    <s v="محمود على "/>
    <s v="داخلي"/>
    <s v="تم التسليم"/>
  </r>
  <r>
    <s v="اسامه"/>
    <s v="أفراد"/>
    <x v="5"/>
    <x v="4"/>
    <s v="هومزمارت"/>
    <n v="1"/>
    <s v="ترابيزة"/>
    <s v="دورين"/>
    <m/>
    <m/>
    <m/>
    <n v="7849"/>
    <s v="كاش"/>
    <d v="2024-09-16T00:00:00"/>
    <d v="2024-10-30T00:00:00"/>
    <d v="2024-11-14T00:00:00"/>
    <n v="44"/>
    <n v="59"/>
    <n v="15"/>
    <s v="سيئة"/>
    <s v="متأخر"/>
    <s v="شركة الشحن"/>
    <s v="خارجي"/>
    <s v="تم التسليم"/>
  </r>
  <r>
    <s v="اوسكار راتن"/>
    <s v="شركات"/>
    <x v="24"/>
    <x v="1"/>
    <s v="اوسكار راتن "/>
    <n v="1"/>
    <s v="سرير"/>
    <s v="دورين"/>
    <s v="كيفنج"/>
    <n v="80"/>
    <s v="ابيض"/>
    <n v="5074"/>
    <s v="حساب شركه"/>
    <d v="2024-09-21T00:00:00"/>
    <d v="2024-10-05T00:00:00"/>
    <d v="2024-10-12T00:00:00"/>
    <n v="14"/>
    <n v="21"/>
    <n v="7"/>
    <s v="سيئة"/>
    <s v="متأخر"/>
    <s v="محمود على "/>
    <s v="داخلي"/>
    <s v="تم التسليم"/>
  </r>
  <r>
    <s v="تاكى "/>
    <s v="شركات"/>
    <x v="6"/>
    <x v="0"/>
    <s v="تاكى"/>
    <n v="1"/>
    <s v="سرير"/>
    <s v="دورين"/>
    <s v="كينج"/>
    <n v="100"/>
    <s v="اسود وبنى"/>
    <n v="6250"/>
    <s v="حساب شركه"/>
    <d v="2024-09-23T00:00:00"/>
    <d v="2024-10-08T00:00:00"/>
    <d v="2024-10-17T00:00:00"/>
    <n v="15"/>
    <n v="24"/>
    <n v="9"/>
    <s v="سيئة"/>
    <s v="متأخر"/>
    <s v="محمود على "/>
    <s v="داخلي"/>
    <s v="تم التسليم"/>
  </r>
  <r>
    <s v="ولاء بدوى"/>
    <s v="أفراد"/>
    <x v="6"/>
    <x v="0"/>
    <s v="هومزمارت"/>
    <n v="1"/>
    <s v="سرير"/>
    <s v="فردي"/>
    <s v="فورجينا"/>
    <n v="120"/>
    <s v="ابيض"/>
    <n v="8943"/>
    <s v="كاش"/>
    <d v="2024-09-26T00:00:00"/>
    <d v="2024-11-10T00:00:00"/>
    <d v="2024-10-10T00:00:00"/>
    <n v="45"/>
    <n v="14"/>
    <n v="-31"/>
    <s v="ممتازة"/>
    <s v="مبكر"/>
    <s v="محمود على "/>
    <s v="داخلي"/>
    <s v="تم التسليم"/>
  </r>
  <r>
    <s v="عبد الرحمن يسري"/>
    <s v="أفراد"/>
    <x v="16"/>
    <x v="1"/>
    <s v="هومزمارت"/>
    <n v="1"/>
    <s v="ترابيزة"/>
    <s v="قهوة"/>
    <m/>
    <m/>
    <m/>
    <n v="8433"/>
    <s v="كاش"/>
    <d v="2024-09-26T00:00:00"/>
    <d v="2024-11-10T00:00:00"/>
    <m/>
    <n v="45"/>
    <s v=""/>
    <s v=""/>
    <s v="سيئة"/>
    <s v="متأخر"/>
    <s v="فشل التسليم"/>
    <s v="داخلي"/>
    <s v="فشل التسليم"/>
  </r>
  <r>
    <s v="شيك هومز "/>
    <s v="شركات"/>
    <x v="10"/>
    <x v="0"/>
    <s v="شيك هومز "/>
    <n v="1"/>
    <s v="كنبة"/>
    <s v="4*1"/>
    <m/>
    <m/>
    <s v="نبيتى "/>
    <n v="14950"/>
    <s v="مسبق الدفع"/>
    <d v="2024-09-26T00:00:00"/>
    <d v="2024-10-14T00:00:00"/>
    <d v="2024-10-13T00:00:00"/>
    <n v="18"/>
    <n v="17"/>
    <n v="-1"/>
    <s v="ممتازة"/>
    <s v="مبكر"/>
    <s v="محمود على "/>
    <s v="داخلي"/>
    <s v="تم التسليم"/>
  </r>
  <r>
    <s v="شيك هومز "/>
    <s v="شركات"/>
    <x v="3"/>
    <x v="3"/>
    <s v="شيك هومز "/>
    <n v="1"/>
    <s v="سرير"/>
    <s v="دورين"/>
    <s v="كينج"/>
    <n v="100"/>
    <s v="اسود"/>
    <n v="9608"/>
    <s v="كاش"/>
    <d v="2024-09-26T00:00:00"/>
    <d v="2024-10-14T00:00:00"/>
    <m/>
    <n v="18"/>
    <s v=""/>
    <s v=""/>
    <s v="سيئة"/>
    <s v="متأخر"/>
    <s v="فشل التسليم"/>
    <s v="داخلي"/>
    <s v="فشل التسليم"/>
  </r>
  <r>
    <s v="شيك هومز "/>
    <s v="شركات"/>
    <x v="3"/>
    <x v="3"/>
    <s v="شيك هومز "/>
    <n v="1"/>
    <s v="سرير"/>
    <s v="فردي"/>
    <s v="اسباني"/>
    <n v="120"/>
    <s v="ابيض"/>
    <n v="7433"/>
    <s v="مسبق الدفع"/>
    <d v="2024-09-29T00:00:00"/>
    <d v="2024-10-20T00:00:00"/>
    <d v="2024-10-21T00:00:00"/>
    <n v="21"/>
    <n v="22"/>
    <n v="1"/>
    <s v="مقبولة"/>
    <s v="متأخر"/>
    <s v="محمود على "/>
    <s v="داخلي"/>
    <s v="تم التسليم"/>
  </r>
  <r>
    <s v="اوسكار راتن"/>
    <s v="شركات"/>
    <x v="24"/>
    <x v="1"/>
    <s v="اوسكار راتن "/>
    <n v="1"/>
    <s v="سرير"/>
    <s v="فردي"/>
    <s v="فورجينا"/>
    <n v="120"/>
    <s v="ابيض"/>
    <n v="4020"/>
    <s v="حساب شركه"/>
    <d v="2024-09-29T00:00:00"/>
    <d v="2024-10-12T00:00:00"/>
    <d v="2024-10-12T00:00:00"/>
    <n v="13"/>
    <n v="13"/>
    <n v="0"/>
    <s v="مقبولة"/>
    <s v="في الموعد"/>
    <s v="محمود على "/>
    <s v="داخلي"/>
    <s v="تم التسليم"/>
  </r>
  <r>
    <s v="الحج محمد السويس"/>
    <s v="أفراد"/>
    <x v="3"/>
    <x v="4"/>
    <s v="السويس"/>
    <n v="1"/>
    <s v="سرير"/>
    <s v="دورين"/>
    <s v="فانتستيك"/>
    <n v="100"/>
    <m/>
    <n v="9608"/>
    <m/>
    <d v="2024-10-01T00:00:00"/>
    <d v="2024-10-09T00:00:00"/>
    <d v="2024-10-09T00:00:00"/>
    <n v="8"/>
    <n v="8"/>
    <n v="0"/>
    <s v="مقبولة"/>
    <s v="في الموعد"/>
    <s v="تم التسليم بمعرفه الحج سيد "/>
    <s v="داخلي"/>
    <s v="تم التسليم"/>
  </r>
  <r>
    <s v="الحج محمد السويس"/>
    <s v="أفراد"/>
    <x v="3"/>
    <x v="4"/>
    <s v="السويس"/>
    <n v="1"/>
    <s v="سرير"/>
    <s v="منطبق"/>
    <m/>
    <m/>
    <s v="اسود"/>
    <n v="4600"/>
    <m/>
    <d v="2024-10-01T00:00:00"/>
    <d v="2024-10-09T00:00:00"/>
    <d v="2024-10-09T00:00:00"/>
    <n v="8"/>
    <n v="8"/>
    <n v="0"/>
    <s v="مقبولة"/>
    <s v="في الموعد"/>
    <s v="تم التسليم بمعرفه الحج سيد "/>
    <s v="داخلي"/>
    <s v="تم التسليم"/>
  </r>
  <r>
    <s v="الحج محمد السويس"/>
    <s v="أفراد"/>
    <x v="3"/>
    <x v="4"/>
    <s v="السويس"/>
    <n v="1"/>
    <s v="كنبة"/>
    <m/>
    <s v="فنيسيا"/>
    <m/>
    <s v="اسود"/>
    <n v="10000"/>
    <m/>
    <d v="2024-10-01T00:00:00"/>
    <d v="2024-10-09T00:00:00"/>
    <d v="2024-10-09T00:00:00"/>
    <n v="8"/>
    <n v="8"/>
    <n v="0"/>
    <s v="مقبولة"/>
    <s v="في الموعد"/>
    <s v="تم التسليم بمعرفه الحج سيد "/>
    <s v="داخلي"/>
    <s v="تم التسليم"/>
  </r>
  <r>
    <s v="الحج محمد السويس"/>
    <s v="أفراد"/>
    <x v="3"/>
    <x v="4"/>
    <s v="السويس"/>
    <n v="1"/>
    <s v="شيزلونج"/>
    <m/>
    <m/>
    <m/>
    <s v="اسود"/>
    <n v="5500"/>
    <m/>
    <d v="2024-10-01T00:00:00"/>
    <d v="2024-10-09T00:00:00"/>
    <d v="2024-10-09T00:00:00"/>
    <n v="8"/>
    <n v="8"/>
    <n v="0"/>
    <s v="مقبولة"/>
    <s v="في الموعد"/>
    <s v="تم التسليم بمعرفه الحج سيد "/>
    <s v="داخلي"/>
    <s v="تم التسليم"/>
  </r>
  <r>
    <s v="عمرو الأسود"/>
    <s v="أفراد"/>
    <x v="25"/>
    <x v="0"/>
    <s v="هومزمارت"/>
    <n v="1"/>
    <s v="سرير"/>
    <s v="منطبق"/>
    <m/>
    <m/>
    <s v="اسود"/>
    <n v="8988"/>
    <s v="كاش"/>
    <d v="2024-10-03T00:00:00"/>
    <d v="2024-11-17T00:00:00"/>
    <m/>
    <n v="45"/>
    <s v=""/>
    <s v=""/>
    <s v="سيئة"/>
    <s v="متأخر"/>
    <s v="غير معروف"/>
    <s v="غير معروف"/>
    <s v="تم التسليم"/>
  </r>
  <r>
    <s v="شيك هومز "/>
    <s v="شركات"/>
    <x v="3"/>
    <x v="3"/>
    <s v="شيك هومز "/>
    <n v="1"/>
    <s v="كنبة"/>
    <s v="4*1"/>
    <m/>
    <m/>
    <s v="اسود"/>
    <n v="14550"/>
    <s v="مسبق الدفع"/>
    <d v="2024-10-08T00:00:00"/>
    <d v="2024-10-29T00:00:00"/>
    <d v="2024-10-30T00:00:00"/>
    <n v="21"/>
    <n v="22"/>
    <n v="1"/>
    <s v="مقبولة"/>
    <s v="متأخر"/>
    <s v="محمود على "/>
    <s v="داخلي"/>
    <s v="تم التسليم"/>
  </r>
  <r>
    <s v="شيك هومز "/>
    <s v="شركات"/>
    <x v="16"/>
    <x v="1"/>
    <s v="شيك هومز "/>
    <n v="1"/>
    <s v="كنبة"/>
    <s v="4*1"/>
    <m/>
    <m/>
    <s v="اسود"/>
    <n v="14550"/>
    <s v="مسبق الدفع"/>
    <d v="2024-10-07T00:00:00"/>
    <d v="2024-10-29T00:00:00"/>
    <d v="2024-10-15T00:00:00"/>
    <n v="22"/>
    <n v="8"/>
    <n v="-14"/>
    <s v="ممتازة"/>
    <s v="مبكر"/>
    <s v="محمود على "/>
    <s v="داخلي"/>
    <s v="تم التسليم"/>
  </r>
  <r>
    <s v="شيك هومز "/>
    <s v="شركات"/>
    <x v="3"/>
    <x v="3"/>
    <s v="شيك هومز "/>
    <n v="1"/>
    <s v="كنبة"/>
    <s v="4*1"/>
    <m/>
    <m/>
    <s v="اسود"/>
    <n v="14550"/>
    <s v="كاش"/>
    <d v="2024-10-10T00:00:00"/>
    <d v="2024-10-31T00:00:00"/>
    <d v="2024-11-02T00:00:00"/>
    <n v="21"/>
    <n v="23"/>
    <n v="2"/>
    <s v="مقبولة"/>
    <s v="متأخر"/>
    <s v="محمود على "/>
    <s v="داخلي"/>
    <s v="تم التسليم"/>
  </r>
  <r>
    <s v="keira"/>
    <s v="أفراد"/>
    <x v="4"/>
    <x v="0"/>
    <s v="هومزمارت"/>
    <n v="1"/>
    <s v="سرير"/>
    <s v="دورين"/>
    <s v="نوفال "/>
    <s v="100*140"/>
    <s v="وردي"/>
    <n v="13028"/>
    <s v="كاش"/>
    <d v="2024-10-13T00:00:00"/>
    <d v="2024-12-17T00:00:00"/>
    <d v="2024-11-02T00:00:00"/>
    <n v="65"/>
    <n v="20"/>
    <n v="-45"/>
    <s v="ممتازة"/>
    <s v="مبكر"/>
    <s v="محمود على "/>
    <s v="داخلي"/>
    <s v="تم التسليم"/>
  </r>
  <r>
    <s v="tarek"/>
    <s v="أفراد"/>
    <x v="13"/>
    <x v="0"/>
    <s v="هومزمارت"/>
    <n v="1"/>
    <s v="سرير"/>
    <s v="دورين"/>
    <s v="كيفنج"/>
    <n v="80"/>
    <s v="ابيض"/>
    <n v="10499"/>
    <s v="مسبق الدفع"/>
    <d v="2024-10-16T00:00:00"/>
    <d v="2024-12-19T00:00:00"/>
    <d v="2024-10-21T00:00:00"/>
    <n v="64"/>
    <n v="5"/>
    <n v="-59"/>
    <s v="ممتازة"/>
    <s v="مبكر"/>
    <s v="محمود على "/>
    <s v="داخلي"/>
    <s v="تم التسليم"/>
  </r>
  <r>
    <s v="reem"/>
    <s v="أفراد"/>
    <x v="26"/>
    <x v="7"/>
    <s v="هومزمارت"/>
    <n v="1"/>
    <s v="سرير"/>
    <s v="دورين"/>
    <s v="نوفال"/>
    <s v="100*140"/>
    <s v="وردي"/>
    <n v="12899"/>
    <s v="مسبق الدفع"/>
    <d v="2024-10-17T00:00:00"/>
    <d v="2024-12-22T00:00:00"/>
    <d v="2024-12-03T00:00:00"/>
    <n v="66"/>
    <n v="47"/>
    <n v="-19"/>
    <s v="ممتازة"/>
    <s v="مبكر"/>
    <s v="شركة الشحن"/>
    <s v="خارجي"/>
    <s v="تم التسليم"/>
  </r>
  <r>
    <s v="هشام سامى"/>
    <s v="أفراد"/>
    <x v="10"/>
    <x v="0"/>
    <s v="منزلى "/>
    <n v="1"/>
    <s v="سرير"/>
    <s v="فردي"/>
    <s v="بلحه"/>
    <n v="140"/>
    <s v="نبيتى "/>
    <n v="5135"/>
    <s v="مسبق الدفع"/>
    <d v="2024-10-20T00:00:00"/>
    <d v="2024-11-17T00:00:00"/>
    <d v="2024-11-14T00:00:00"/>
    <n v="28"/>
    <n v="25"/>
    <n v="-3"/>
    <s v="ممتازة"/>
    <s v="مبكر"/>
    <s v="محمود على "/>
    <s v="داخلي"/>
    <s v="تم التسليم"/>
  </r>
  <r>
    <s v="شيك هومز "/>
    <s v="شركات"/>
    <x v="16"/>
    <x v="1"/>
    <s v="شيك هومز "/>
    <n v="1"/>
    <s v="سرير"/>
    <s v="دورين"/>
    <s v="فانتستيك"/>
    <n v="100"/>
    <m/>
    <n v="12777.5"/>
    <s v="كاش"/>
    <d v="2024-10-22T00:00:00"/>
    <d v="2024-11-12T00:00:00"/>
    <d v="2024-11-18T00:00:00"/>
    <n v="21"/>
    <n v="27"/>
    <n v="6"/>
    <s v="سيئة"/>
    <s v="متأخر"/>
    <s v="محمود على "/>
    <s v="داخلي"/>
    <s v="تم التسليم"/>
  </r>
  <r>
    <s v="اوسكار راتن"/>
    <s v="شركات"/>
    <x v="11"/>
    <x v="0"/>
    <s v="اوسكار راتن "/>
    <n v="1"/>
    <s v="سرير"/>
    <s v="دورين"/>
    <s v="فانتستيك"/>
    <n v="100"/>
    <m/>
    <n v="8544.91"/>
    <s v="حساب شركه"/>
    <d v="2024-10-22T00:00:00"/>
    <m/>
    <m/>
    <s v=""/>
    <s v=""/>
    <s v=""/>
    <s v="سيئة"/>
    <s v="متأخر"/>
    <s v="فشل التسليم"/>
    <s v="داخلي"/>
    <s v="فشل التسليم"/>
  </r>
  <r>
    <s v="فاطمه محمد"/>
    <s v="أفراد"/>
    <x v="16"/>
    <x v="1"/>
    <s v="هومزمارت"/>
    <n v="1"/>
    <s v="سرير"/>
    <s v="فردي"/>
    <s v="فورجينا"/>
    <n v="120"/>
    <s v="ابيض"/>
    <n v="9007"/>
    <s v="كاش"/>
    <d v="2024-10-21T00:00:00"/>
    <d v="2024-11-14T00:00:00"/>
    <d v="2024-11-18T00:00:00"/>
    <n v="24"/>
    <n v="28"/>
    <n v="4"/>
    <s v="سيئة"/>
    <s v="متأخر"/>
    <s v="محمود على "/>
    <s v="داخلي"/>
    <s v="تم التسليم"/>
  </r>
  <r>
    <s v="شيك هومز "/>
    <s v="شركات"/>
    <x v="3"/>
    <x v="3"/>
    <s v="شيك هومز "/>
    <n v="1"/>
    <s v="كنبة"/>
    <s v="4*1"/>
    <m/>
    <m/>
    <s v="اسود"/>
    <n v="15516"/>
    <s v="مسبق الدفع"/>
    <d v="2024-10-24T00:00:00"/>
    <d v="2024-11-14T00:00:00"/>
    <d v="2024-10-30T00:00:00"/>
    <n v="21"/>
    <n v="6"/>
    <n v="-15"/>
    <s v="ممتازة"/>
    <s v="مبكر"/>
    <s v="محمود على "/>
    <s v="داخلي"/>
    <s v="تم التسليم"/>
  </r>
  <r>
    <s v="شيك هومز "/>
    <s v="شركات"/>
    <x v="3"/>
    <x v="3"/>
    <s v="شيك هومز "/>
    <n v="1"/>
    <s v="سرير"/>
    <s v="دورين"/>
    <s v="كينج"/>
    <n v="100"/>
    <s v="اسود"/>
    <n v="10045"/>
    <s v="كاش"/>
    <d v="2024-10-26T00:00:00"/>
    <d v="2024-11-16T00:00:00"/>
    <m/>
    <n v="21"/>
    <s v=""/>
    <s v=""/>
    <s v="سيئة"/>
    <s v="متأخر"/>
    <s v="فشل التسليم"/>
    <s v="داخلي"/>
    <s v="فشل التسليم"/>
  </r>
  <r>
    <s v="ساره"/>
    <s v="أفراد"/>
    <x v="2"/>
    <x v="1"/>
    <s v="هومزمارت"/>
    <n v="1"/>
    <s v="سرير"/>
    <s v="دورين"/>
    <s v="كينج"/>
    <n v="90"/>
    <s v="اسود"/>
    <n v="11749"/>
    <s v="كاش"/>
    <d v="2024-10-26T00:00:00"/>
    <d v="2024-11-10T00:00:00"/>
    <d v="2024-11-18T00:00:00"/>
    <n v="15"/>
    <n v="23"/>
    <n v="8"/>
    <s v="سيئة"/>
    <s v="متأخر"/>
    <s v="محمود على "/>
    <s v="داخلي"/>
    <s v="تم التسليم"/>
  </r>
  <r>
    <s v="ساره"/>
    <s v="أفراد"/>
    <x v="2"/>
    <x v="1"/>
    <s v="هومزمارت"/>
    <n v="1"/>
    <s v="سرير"/>
    <s v="دورين"/>
    <s v="كينج"/>
    <n v="90"/>
    <s v="اسود"/>
    <n v="11749"/>
    <s v="كاش"/>
    <d v="2024-10-26T00:00:00"/>
    <d v="2024-11-10T00:00:00"/>
    <d v="2024-11-18T00:00:00"/>
    <n v="15"/>
    <n v="23"/>
    <n v="8"/>
    <s v="سيئة"/>
    <s v="متأخر"/>
    <s v="محمود على "/>
    <s v="داخلي"/>
    <s v="تم التسليم"/>
  </r>
  <r>
    <s v="بولا هومزمارت"/>
    <s v="شركات"/>
    <x v="1"/>
    <x v="0"/>
    <s v="هومزمارت"/>
    <n v="1"/>
    <s v="سرير"/>
    <s v="فردي"/>
    <s v="اسباني"/>
    <n v="100"/>
    <s v="ابيض"/>
    <n v="4800"/>
    <s v="كاش"/>
    <d v="2024-10-28T00:00:00"/>
    <d v="2024-11-11T00:00:00"/>
    <d v="2024-11-21T00:00:00"/>
    <n v="14"/>
    <n v="24"/>
    <n v="10"/>
    <s v="سيئة"/>
    <s v="متأخر"/>
    <s v="محمود على "/>
    <s v="داخلي"/>
    <s v="تم التسليم"/>
  </r>
  <r>
    <s v="بولا هومزمارت"/>
    <s v="شركات"/>
    <x v="1"/>
    <x v="0"/>
    <s v="هومزمارت"/>
    <n v="1"/>
    <s v="سرير"/>
    <s v="فردي"/>
    <s v="اسباني"/>
    <n v="120"/>
    <s v="ابيض"/>
    <n v="5000"/>
    <s v="كاش"/>
    <d v="2024-10-28T00:00:00"/>
    <d v="2024-11-11T00:00:00"/>
    <d v="2024-11-21T00:00:00"/>
    <n v="14"/>
    <n v="24"/>
    <n v="10"/>
    <s v="سيئة"/>
    <s v="متأخر"/>
    <s v="محمود على "/>
    <s v="داخلي"/>
    <s v="تم التسليم"/>
  </r>
  <r>
    <s v="محمد شكرى "/>
    <s v="أفراد"/>
    <x v="27"/>
    <x v="0"/>
    <s v="هومزمارت"/>
    <n v="1"/>
    <s v="سرير"/>
    <s v="دورين"/>
    <s v="كيفنج"/>
    <n v="80"/>
    <s v="ابيض"/>
    <n v="12099"/>
    <s v="مسبق الدفع"/>
    <d v="2024-11-11T00:00:00"/>
    <d v="2024-11-26T00:00:00"/>
    <d v="2024-11-27T00:00:00"/>
    <n v="15"/>
    <n v="16"/>
    <n v="1"/>
    <s v="مقبولة"/>
    <s v="متأخر"/>
    <s v="محمود على "/>
    <s v="داخلي"/>
    <s v="تم التسليم"/>
  </r>
  <r>
    <s v="شيك هومز"/>
    <s v="شركات"/>
    <x v="3"/>
    <x v="3"/>
    <s v="شيك هومز "/>
    <n v="1"/>
    <s v="كنبة"/>
    <s v="4*1"/>
    <s v="ارينا"/>
    <m/>
    <s v="اسود"/>
    <n v="15872"/>
    <s v="مسبق الدفع"/>
    <d v="2024-11-08T00:00:00"/>
    <d v="2024-12-03T00:00:00"/>
    <d v="2024-11-14T00:00:00"/>
    <n v="25"/>
    <n v="6"/>
    <n v="-19"/>
    <s v="ممتازة"/>
    <s v="مبكر"/>
    <s v="محمود على "/>
    <s v="داخلي"/>
    <s v="تم التسليم"/>
  </r>
  <r>
    <s v="منزلى"/>
    <s v="شركات"/>
    <x v="10"/>
    <x v="0"/>
    <s v="منزلى "/>
    <n v="1"/>
    <s v="سرير"/>
    <s v="فردي"/>
    <s v="فورجينا"/>
    <n v="120"/>
    <s v="ابيض"/>
    <n v="4520"/>
    <s v="حساب شركه"/>
    <d v="2024-11-10T00:00:00"/>
    <d v="2024-11-22T00:00:00"/>
    <d v="2024-11-21T00:00:00"/>
    <n v="12"/>
    <n v="11"/>
    <n v="-1"/>
    <s v="ممتازة"/>
    <s v="مبكر"/>
    <s v="محمود على "/>
    <s v="داخلي"/>
    <s v="تم التسليم"/>
  </r>
  <r>
    <s v="اوسكار راتن"/>
    <s v="شركات"/>
    <x v="24"/>
    <x v="1"/>
    <s v="اوسكار راتن "/>
    <n v="1"/>
    <s v="سرير"/>
    <s v="دورين"/>
    <s v="كينج"/>
    <n v="90"/>
    <s v="اسود"/>
    <n v="5766"/>
    <s v="حساب شركه"/>
    <d v="2024-11-12T00:00:00"/>
    <d v="2024-11-26T00:00:00"/>
    <d v="2024-11-25T00:00:00"/>
    <n v="14"/>
    <n v="13"/>
    <n v="-1"/>
    <s v="ممتازة"/>
    <s v="مبكر"/>
    <s v="محمود على "/>
    <s v="داخلي"/>
    <s v="تم التسليم"/>
  </r>
  <r>
    <s v="حماده"/>
    <s v="أفراد"/>
    <x v="1"/>
    <x v="0"/>
    <s v="هومزمارت"/>
    <n v="1"/>
    <s v="سرير"/>
    <s v="فردي"/>
    <s v="فورجينا"/>
    <n v="160"/>
    <s v="بنفسجى"/>
    <n v="11395"/>
    <s v="مسبق الدفع"/>
    <d v="2024-11-12T00:00:00"/>
    <d v="2024-11-24T00:00:00"/>
    <d v="2024-11-27T00:00:00"/>
    <n v="12"/>
    <n v="15"/>
    <n v="3"/>
    <s v="مقبولة"/>
    <s v="متأخر"/>
    <s v="محمود على "/>
    <s v="داخلي"/>
    <s v="تم التسليم"/>
  </r>
  <r>
    <s v="صفاء عبد الباقي"/>
    <s v="أفراد"/>
    <x v="10"/>
    <x v="0"/>
    <s v="هومزمارت"/>
    <n v="1"/>
    <s v="سرير"/>
    <s v="دورين"/>
    <s v="كينج "/>
    <n v="80"/>
    <s v="ابيض"/>
    <n v="12919"/>
    <s v="مسبق الدفع"/>
    <d v="2024-11-14T00:00:00"/>
    <d v="2024-11-30T00:00:00"/>
    <d v="2024-11-27T00:00:00"/>
    <n v="16"/>
    <n v="13"/>
    <n v="-3"/>
    <s v="ممتازة"/>
    <s v="مبكر"/>
    <s v="محمود على "/>
    <s v="داخلي"/>
    <s v="تم التسليم"/>
  </r>
  <r>
    <s v="اوسكار راتن"/>
    <s v="شركات"/>
    <x v="24"/>
    <x v="1"/>
    <s v="اوسكار راتن "/>
    <n v="1"/>
    <s v="سرير"/>
    <s v="دورين"/>
    <s v="نوفال"/>
    <n v="120"/>
    <s v="رمادي"/>
    <n v="6376"/>
    <s v="حساب شركه"/>
    <d v="2024-11-14T00:00:00"/>
    <d v="2024-11-27T00:00:00"/>
    <d v="2024-11-25T00:00:00"/>
    <n v="13"/>
    <n v="11"/>
    <n v="-2"/>
    <s v="ممتازة"/>
    <s v="مبكر"/>
    <s v="محمود على "/>
    <s v="داخلي"/>
    <s v="تم التسليم"/>
  </r>
  <r>
    <s v="اوسكار راتن"/>
    <s v="شركات"/>
    <x v="24"/>
    <x v="1"/>
    <s v="اوسكار راتن "/>
    <n v="1"/>
    <s v="سرير"/>
    <s v="دورين"/>
    <s v="نوفال"/>
    <n v="90"/>
    <s v="اسود"/>
    <n v="5294"/>
    <s v="حساب شركه"/>
    <d v="2024-11-14T00:00:00"/>
    <d v="2024-11-27T00:00:00"/>
    <d v="2024-11-25T00:00:00"/>
    <n v="13"/>
    <n v="11"/>
    <n v="-2"/>
    <s v="ممتازة"/>
    <s v="مبكر"/>
    <s v="محمود على "/>
    <s v="داخلي"/>
    <s v="تم التسليم"/>
  </r>
  <r>
    <s v="رندا العامرى "/>
    <s v="أفراد"/>
    <x v="16"/>
    <x v="1"/>
    <s v="كيمت "/>
    <n v="1"/>
    <s v="سرير"/>
    <s v="دورين"/>
    <s v="كيفنج "/>
    <n v="80"/>
    <s v="ابيض"/>
    <n v="7396"/>
    <s v="مسبق الدفع"/>
    <d v="2024-11-17T00:00:00"/>
    <d v="2024-11-28T00:00:00"/>
    <d v="2024-11-26T00:00:00"/>
    <n v="11"/>
    <n v="9"/>
    <n v="-2"/>
    <s v="ممتازة"/>
    <s v="مبكر"/>
    <s v="محمود على "/>
    <s v="داخلي"/>
    <s v="تم التسليم"/>
  </r>
  <r>
    <s v="ساره"/>
    <s v="أفراد"/>
    <x v="16"/>
    <x v="1"/>
    <s v="هومزمارت"/>
    <n v="1"/>
    <s v="سرير"/>
    <s v="دورين"/>
    <s v="كينج"/>
    <n v="90"/>
    <s v="اسود"/>
    <n v="13575"/>
    <s v="كاش"/>
    <d v="2024-11-20T00:00:00"/>
    <d v="2024-12-05T00:00:00"/>
    <d v="2024-11-26T00:00:00"/>
    <n v="15"/>
    <n v="6"/>
    <n v="-9"/>
    <s v="ممتازة"/>
    <s v="مبكر"/>
    <s v="محمود على "/>
    <s v="داخلي"/>
    <s v="تم التسليم"/>
  </r>
  <r>
    <s v="تاكى "/>
    <s v="شركات"/>
    <x v="6"/>
    <x v="0"/>
    <s v="تاكى"/>
    <n v="1"/>
    <s v="سرير"/>
    <s v="فردي"/>
    <s v="امريكى"/>
    <n v="160"/>
    <s v="اسود"/>
    <n v="5100"/>
    <s v="حساب شركه"/>
    <d v="2024-11-14T00:00:00"/>
    <d v="2024-12-08T00:00:00"/>
    <m/>
    <n v="24"/>
    <s v=""/>
    <s v=""/>
    <s v="سيئة"/>
    <s v="متأخر"/>
    <s v="غير معروف"/>
    <s v="غير معروف"/>
    <s v="تم التسليم"/>
  </r>
  <r>
    <s v="محمد حمدى"/>
    <s v="أفراد"/>
    <x v="13"/>
    <x v="0"/>
    <s v="فيسبوك"/>
    <n v="1"/>
    <s v="سرير"/>
    <s v="فردي"/>
    <s v="كوين "/>
    <n v="160"/>
    <s v="دهبي"/>
    <n v="5800"/>
    <s v="كاش"/>
    <d v="2024-11-22T00:00:00"/>
    <d v="2024-12-02T00:00:00"/>
    <d v="2024-11-27T00:00:00"/>
    <n v="10"/>
    <n v="5"/>
    <n v="-5"/>
    <s v="ممتازة"/>
    <s v="مبكر"/>
    <s v="محمود على "/>
    <s v="داخلي"/>
    <s v="تم التسليم"/>
  </r>
  <r>
    <s v="بافلى هانى "/>
    <s v="شركات"/>
    <x v="28"/>
    <x v="0"/>
    <s v="هومزمارت"/>
    <n v="1"/>
    <s v="سرير"/>
    <s v="فردي"/>
    <s v="اسباني"/>
    <n v="120"/>
    <s v="رمادي"/>
    <n v="10885"/>
    <s v="كاش"/>
    <d v="2024-11-24T00:00:00"/>
    <d v="2024-12-05T00:00:00"/>
    <d v="2024-12-10T00:00:00"/>
    <n v="11"/>
    <n v="16"/>
    <n v="5"/>
    <s v="سيئة"/>
    <s v="متأخر"/>
    <s v="محمود على "/>
    <s v="داخلي"/>
    <s v="تم التسليم"/>
  </r>
  <r>
    <s v="تاكى "/>
    <s v="شركات"/>
    <x v="6"/>
    <x v="0"/>
    <s v="تاكى"/>
    <n v="1"/>
    <s v="كنبة"/>
    <m/>
    <m/>
    <m/>
    <m/>
    <n v="6000"/>
    <s v="كاش"/>
    <d v="2024-11-19T00:00:00"/>
    <d v="2024-12-05T00:00:00"/>
    <d v="2024-11-20T00:00:00"/>
    <n v="16"/>
    <n v="1"/>
    <n v="-15"/>
    <s v="ممتازة"/>
    <s v="مبكر"/>
    <s v="م محمد "/>
    <s v="داخلي"/>
    <s v="تم التسليم"/>
  </r>
  <r>
    <s v="رنا ميلاد"/>
    <s v="أفراد"/>
    <x v="29"/>
    <x v="7"/>
    <s v="هومزمارت"/>
    <n v="1"/>
    <s v="ترابيزة"/>
    <s v="مكتبة"/>
    <m/>
    <m/>
    <m/>
    <n v="8449"/>
    <s v="مسبق الدفع"/>
    <d v="2024-11-27T00:00:00"/>
    <d v="2024-12-10T00:00:00"/>
    <d v="2024-12-23T00:00:00"/>
    <n v="13"/>
    <n v="26"/>
    <n v="13"/>
    <s v="سيئة"/>
    <s v="متأخر"/>
    <s v="شركة الشحن"/>
    <s v="خارجي"/>
    <s v="تم التسليم"/>
  </r>
  <r>
    <s v="محمد ناجى"/>
    <s v="أفراد"/>
    <x v="11"/>
    <x v="0"/>
    <s v="هومزمارت"/>
    <n v="1"/>
    <s v="ترابيزة"/>
    <s v="دورين"/>
    <m/>
    <m/>
    <s v="ابيض"/>
    <n v="10249"/>
    <s v="كاش"/>
    <d v="2024-11-27T00:00:00"/>
    <d v="2024-12-10T00:00:00"/>
    <d v="2024-12-19T00:00:00"/>
    <n v="13"/>
    <n v="22"/>
    <n v="9"/>
    <s v="سيئة"/>
    <s v="متأخر"/>
    <s v="محمود على "/>
    <s v="داخلي"/>
    <s v="تم التسليم"/>
  </r>
  <r>
    <s v="احمد عبد الستار"/>
    <s v="أفراد"/>
    <x v="30"/>
    <x v="7"/>
    <s v="هومزمارت"/>
    <n v="1"/>
    <s v="سرير"/>
    <s v="دورين"/>
    <s v="كيفنج"/>
    <n v="100"/>
    <s v="اسود"/>
    <n v="14905"/>
    <s v="مسبق الدفع"/>
    <d v="2024-11-29T00:00:00"/>
    <d v="2024-12-15T00:00:00"/>
    <m/>
    <n v="16"/>
    <s v=""/>
    <s v=""/>
    <s v="سيئة"/>
    <s v="متأخر"/>
    <s v="فشل التسليم "/>
    <s v="داخلي"/>
    <s v="فشل التسليم"/>
  </r>
  <r>
    <s v="نور "/>
    <s v="أفراد"/>
    <x v="4"/>
    <x v="0"/>
    <s v="هومزمارت"/>
    <n v="1"/>
    <s v="ترابيزة"/>
    <s v="دوران "/>
    <m/>
    <m/>
    <s v="اسود"/>
    <n v="10249"/>
    <s v="مسبق الدفع"/>
    <d v="2024-11-30T00:00:00"/>
    <d v="2024-12-12T00:00:00"/>
    <m/>
    <n v="12"/>
    <s v=""/>
    <s v=""/>
    <s v="سيئة"/>
    <s v="متأخر"/>
    <s v="فشل التسليم"/>
    <s v="داخلي"/>
    <s v="فشل التسليم"/>
  </r>
  <r>
    <s v="نور"/>
    <s v="أفراد"/>
    <x v="4"/>
    <x v="0"/>
    <s v="هومزمارت"/>
    <n v="1"/>
    <s v="ترابيزة"/>
    <s v="قهوة"/>
    <m/>
    <m/>
    <s v="اسود"/>
    <n v="9029"/>
    <s v="مسبق الدفع"/>
    <d v="2024-11-30T00:00:00"/>
    <d v="2024-12-12T00:00:00"/>
    <m/>
    <n v="12"/>
    <s v=""/>
    <s v=""/>
    <s v="سيئة"/>
    <s v="متأخر"/>
    <s v="فشل التسليم"/>
    <s v="داخلي"/>
    <s v="فشل التسليم"/>
  </r>
  <r>
    <s v="تامر"/>
    <s v="أفراد"/>
    <x v="5"/>
    <x v="4"/>
    <s v="هومزمارت"/>
    <n v="1"/>
    <s v="ترابيزة"/>
    <s v="دورين"/>
    <m/>
    <m/>
    <s v="اسود"/>
    <n v="9029"/>
    <s v="مسبق الدفع"/>
    <d v="2024-11-30T00:00:00"/>
    <d v="2024-12-12T00:00:00"/>
    <m/>
    <n v="12"/>
    <s v=""/>
    <s v=""/>
    <s v="سيئة"/>
    <s v="متأخر"/>
    <s v="غير معروف"/>
    <s v="غير معروف"/>
    <s v="تم التسليم"/>
  </r>
  <r>
    <s v="هناء اسامه"/>
    <s v="أفراد"/>
    <x v="15"/>
    <x v="0"/>
    <s v="هومزمارت"/>
    <n v="1"/>
    <s v="سرير"/>
    <s v="دورين "/>
    <s v="نوفال"/>
    <n v="80"/>
    <s v="ابيض"/>
    <n v="12099"/>
    <s v="مسبق الدفع"/>
    <d v="2024-12-02T00:00:00"/>
    <d v="2024-12-17T00:00:00"/>
    <m/>
    <n v="15"/>
    <s v=""/>
    <s v=""/>
    <s v="سيئة"/>
    <s v="متأخر"/>
    <s v="فشل التسليم"/>
    <s v="داخلي"/>
    <s v="فشل التسليم"/>
  </r>
  <r>
    <s v="اوسكار راتن"/>
    <s v="شركات"/>
    <x v="24"/>
    <x v="1"/>
    <s v="اوسكار راتن "/>
    <n v="1"/>
    <s v="سرير"/>
    <s v="دورين"/>
    <s v="كيفنج "/>
    <n v="90"/>
    <s v="ازرق"/>
    <n v="5217"/>
    <s v="حساب شركه"/>
    <d v="2024-12-01T00:00:00"/>
    <d v="2024-12-14T00:00:00"/>
    <d v="2024-12-10T00:00:00"/>
    <n v="13"/>
    <n v="9"/>
    <n v="-4"/>
    <s v="ممتازة"/>
    <s v="مبكر"/>
    <s v="محمود على "/>
    <s v="داخلي"/>
    <s v="تم التسليم"/>
  </r>
  <r>
    <s v="محمد عادل "/>
    <s v="أفراد"/>
    <x v="22"/>
    <x v="6"/>
    <s v="هومزمارت"/>
    <n v="1"/>
    <s v="سرير"/>
    <s v="منطبق"/>
    <m/>
    <m/>
    <s v="اسود"/>
    <n v="10249"/>
    <s v="كاش"/>
    <d v="2024-12-04T00:00:00"/>
    <d v="2024-12-14T00:00:00"/>
    <d v="2024-12-19T00:00:00"/>
    <n v="10"/>
    <n v="15"/>
    <n v="5"/>
    <s v="سيئة"/>
    <s v="متأخر"/>
    <s v="محمود على "/>
    <s v="داخلي"/>
    <s v="تم التسليم"/>
  </r>
  <r>
    <s v="مريم عنان"/>
    <s v="أفراد"/>
    <x v="4"/>
    <x v="0"/>
    <s v="شيك هومز "/>
    <n v="1"/>
    <s v="سرير"/>
    <s v="دورين"/>
    <s v="كينج"/>
    <m/>
    <s v="اسود"/>
    <n v="10445"/>
    <s v="كاش"/>
    <d v="2024-12-09T00:00:00"/>
    <d v="2024-12-31T00:00:00"/>
    <d v="2024-12-12T00:00:00"/>
    <n v="22"/>
    <n v="3"/>
    <n v="-19"/>
    <s v="ممتازة"/>
    <s v="مبكر"/>
    <s v="محمود على "/>
    <s v="داخلي"/>
    <s v="تم التسليم"/>
  </r>
  <r>
    <s v="هبه عطيه "/>
    <s v="أفراد"/>
    <x v="4"/>
    <x v="0"/>
    <s v="هومزمارت"/>
    <n v="1"/>
    <s v="ترابيزة"/>
    <s v="دورين"/>
    <m/>
    <m/>
    <s v="اسود"/>
    <n v="11257"/>
    <s v="كاش"/>
    <d v="2024-12-12T00:00:00"/>
    <d v="2024-12-24T00:00:00"/>
    <d v="2024-12-19T00:00:00"/>
    <n v="12"/>
    <n v="7"/>
    <n v="-5"/>
    <s v="ممتازة"/>
    <s v="مبكر"/>
    <s v="محمود على "/>
    <s v="داخلي"/>
    <s v="تم التسليم"/>
  </r>
  <r>
    <s v="حمدى ذكرى"/>
    <s v="أفراد"/>
    <x v="16"/>
    <x v="1"/>
    <s v="هومزمارت"/>
    <n v="1"/>
    <s v="سرير"/>
    <s v="دورين"/>
    <s v="نوفال"/>
    <n v="80"/>
    <s v="اسود"/>
    <n v="13231"/>
    <s v="كاش"/>
    <d v="2024-12-12T00:00:00"/>
    <d v="2024-12-28T00:00:00"/>
    <d v="2024-12-29T00:00:00"/>
    <n v="16"/>
    <n v="17"/>
    <n v="1"/>
    <s v="مقبولة"/>
    <s v="متأخر"/>
    <s v="محمود على "/>
    <s v="داخلي"/>
    <s v="تم التسليم"/>
  </r>
  <r>
    <s v="شيك هومز"/>
    <s v="شركات"/>
    <x v="3"/>
    <x v="3"/>
    <s v="شيك هومز "/>
    <n v="1"/>
    <s v="كنبة"/>
    <s v="4*1"/>
    <s v="ارينا"/>
    <m/>
    <s v="اسود"/>
    <n v="8700"/>
    <s v="حساب شركه"/>
    <d v="2024-12-14T00:00:00"/>
    <d v="2025-01-05T00:00:00"/>
    <d v="2024-12-29T00:00:00"/>
    <n v="22"/>
    <n v="15"/>
    <n v="-7"/>
    <s v="ممتازة"/>
    <s v="مبكر"/>
    <s v="محمود على "/>
    <s v="داخلي"/>
    <s v="تم التسليم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69164-F166-400E-9E34-263B0CF10D0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B14" firstHeaderRow="1" firstDataRow="1" firstDataCol="1"/>
  <pivotFields count="24">
    <pivotField showAll="0"/>
    <pivotField showAll="0"/>
    <pivotField showAll="0">
      <items count="32">
        <item x="16"/>
        <item x="24"/>
        <item x="14"/>
        <item x="26"/>
        <item x="10"/>
        <item x="21"/>
        <item x="25"/>
        <item x="0"/>
        <item x="2"/>
        <item x="6"/>
        <item x="22"/>
        <item x="20"/>
        <item x="5"/>
        <item x="4"/>
        <item x="15"/>
        <item x="12"/>
        <item x="1"/>
        <item x="9"/>
        <item x="30"/>
        <item x="7"/>
        <item x="29"/>
        <item x="17"/>
        <item x="19"/>
        <item x="8"/>
        <item x="28"/>
        <item x="3"/>
        <item x="18"/>
        <item x="23"/>
        <item x="11"/>
        <item x="27"/>
        <item x="13"/>
        <item t="default"/>
      </items>
    </pivotField>
    <pivotField axis="axisRow" dataField="1" showAll="0" sortType="descending">
      <items count="10">
        <item x="8"/>
        <item x="7"/>
        <item x="1"/>
        <item x="5"/>
        <item x="4"/>
        <item x="2"/>
        <item x="0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0">
    <i>
      <x v="6"/>
    </i>
    <i>
      <x v="2"/>
    </i>
    <i>
      <x v="8"/>
    </i>
    <i>
      <x v="4"/>
    </i>
    <i>
      <x v="1"/>
    </i>
    <i>
      <x v="7"/>
    </i>
    <i>
      <x v="5"/>
    </i>
    <i>
      <x v="3"/>
    </i>
    <i>
      <x/>
    </i>
    <i t="grand">
      <x/>
    </i>
  </rowItems>
  <colItems count="1">
    <i/>
  </colItems>
  <dataFields count="1">
    <dataField name="Count of المحافظة" fld="3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DAF25-77EE-440A-B621-01D2357CCED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4:E14" firstHeaderRow="1" firstDataRow="1" firstDataCol="1"/>
  <pivotFields count="24">
    <pivotField showAll="0"/>
    <pivotField showAll="0"/>
    <pivotField showAll="0">
      <items count="32">
        <item x="16"/>
        <item x="24"/>
        <item x="14"/>
        <item x="26"/>
        <item x="10"/>
        <item x="21"/>
        <item x="25"/>
        <item x="0"/>
        <item x="2"/>
        <item x="6"/>
        <item x="22"/>
        <item x="20"/>
        <item x="5"/>
        <item x="4"/>
        <item x="15"/>
        <item x="12"/>
        <item x="1"/>
        <item x="9"/>
        <item x="30"/>
        <item x="7"/>
        <item x="29"/>
        <item x="17"/>
        <item x="19"/>
        <item x="8"/>
        <item x="28"/>
        <item x="3"/>
        <item x="18"/>
        <item x="23"/>
        <item x="11"/>
        <item x="27"/>
        <item x="13"/>
        <item t="default"/>
      </items>
    </pivotField>
    <pivotField axis="axisRow" showAll="0" sortType="descending">
      <items count="10">
        <item x="3"/>
        <item x="6"/>
        <item x="0"/>
        <item x="2"/>
        <item x="4"/>
        <item x="5"/>
        <item x="1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0">
    <i>
      <x v="2"/>
    </i>
    <i>
      <x v="6"/>
    </i>
    <i>
      <x/>
    </i>
    <i>
      <x v="4"/>
    </i>
    <i>
      <x v="7"/>
    </i>
    <i>
      <x v="3"/>
    </i>
    <i>
      <x v="1"/>
    </i>
    <i>
      <x v="5"/>
    </i>
    <i>
      <x v="8"/>
    </i>
    <i t="grand">
      <x/>
    </i>
  </rowItems>
  <colItems count="1">
    <i/>
  </colItems>
  <dataFields count="1">
    <dataField name="Sum of سعر البيع " fld="11" baseField="0" baseItem="0" numFmtId="164"/>
  </dataFields>
  <formats count="8">
    <format dxfId="13">
      <pivotArea outline="0" collapsedLevelsAreSubtotals="1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3" type="button" dataOnly="0" labelOnly="1" outline="0" axis="axisRow" fieldPosition="0"/>
    </format>
    <format dxfId="9">
      <pivotArea dataOnly="0" labelOnly="1" fieldPosition="0">
        <references count="1">
          <reference field="3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outline="0" collapsedLevelsAreSubtotals="1" fieldPosition="0"/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8718F-C92D-4FDD-B86A-F6A27FCCAD15}" name="MISUO" displayName="MISUO" ref="A1:X121" totalsRowShown="0">
  <autoFilter ref="A1:X121" xr:uid="{6138718F-C92D-4FDD-B86A-F6A27FCCAD15}"/>
  <tableColumns count="24">
    <tableColumn id="1" xr3:uid="{6C818D76-BD23-4523-B474-BE48C5B84DD7}" name="أسم العميل"/>
    <tableColumn id="18" xr3:uid="{4C194463-95D3-4B98-ADED-64F2DF573403}" name="نوع العميل"/>
    <tableColumn id="20" xr3:uid="{A3A81812-4545-4F52-99A9-97BF2923B406}" name="المدينة"/>
    <tableColumn id="2" xr3:uid="{9BEC665B-2757-4B71-BD9E-AB124C5B62F2}" name="المحافظة"/>
    <tableColumn id="3" xr3:uid="{DD7B8B45-66C5-4F64-9E02-AD72E02BC65A}" name="منصة البيع " dataDxfId="23"/>
    <tableColumn id="19" xr3:uid="{D329CDFF-589A-425B-9480-FE9C21040435}" name="الكمية"/>
    <tableColumn id="4" xr3:uid="{BC034FB0-CEB0-40FC-B4DA-62FB22ACB321}" name="الصنف"/>
    <tableColumn id="5" xr3:uid="{434FF3EE-8541-4F3A-9865-EC06B44282D0}" name="نوع الصنف"/>
    <tableColumn id="6" xr3:uid="{C1070E42-F4B3-4FA1-805C-C040F1E3D071}" name="الاسم"/>
    <tableColumn id="7" xr3:uid="{84C86F82-BE8A-48A0-8657-15A561D0D3E5}" name="المقاس"/>
    <tableColumn id="8" xr3:uid="{F789C3CF-E1D0-47EB-9493-F2982BD7BE7A}" name="اللون"/>
    <tableColumn id="11" xr3:uid="{BBBC7BCF-42AB-4DB8-BC0B-0E6522AA5175}" name="سعر البيع "/>
    <tableColumn id="21" xr3:uid="{EDAB7213-DECB-44CF-9A8A-7CB245D62754}" name="طريقة الدفع"/>
    <tableColumn id="13" xr3:uid="{6FE24D5D-566C-4E35-B937-4907C24AD291}" name="تاريخ الطلب" dataDxfId="22"/>
    <tableColumn id="14" xr3:uid="{A3044487-946A-455C-89A4-8515B2D492C0}" name="ميعاد التسليم المتوقع " dataDxfId="21"/>
    <tableColumn id="15" xr3:uid="{E475A0BE-ED4D-413A-B0AC-F3E9F34E8AD1}" name="تاريخ التسليم الفعلي" dataDxfId="20"/>
    <tableColumn id="23" xr3:uid="{1DFB1D07-657C-482C-BBEE-1CAC6527E332}" name="المدة المتوقعة" dataDxfId="19">
      <calculatedColumnFormula>IF(OR(ISBLANK(MISUO[[#This Row],[ميعاد التسليم المتوقع ]]), ISBLANK(MISUO[[#This Row],[تاريخ الطلب]])), "", MISUO[[#This Row],[ميعاد التسليم المتوقع ]]-MISUO[[#This Row],[تاريخ الطلب]])</calculatedColumnFormula>
    </tableColumn>
    <tableColumn id="22" xr3:uid="{FC8CA477-4EA7-4126-B179-10ABDAB59A53}" name="المدة الفعلية" dataDxfId="18">
      <calculatedColumnFormula>IF(OR(ISBLANK(MISUO[[#This Row],[تاريخ التسليم الفعلي]]), ISBLANK(MISUO[[#This Row],[تاريخ الطلب]])), "", MISUO[[#This Row],[تاريخ التسليم الفعلي]]-MISUO[[#This Row],[تاريخ الطلب]])</calculatedColumnFormula>
    </tableColumn>
    <tableColumn id="24" xr3:uid="{89F6AF76-134E-41A2-810A-2BB5B8212FB6}" name="الفرق بين الفعلي والمتوقع" dataDxfId="17">
      <calculatedColumnFormula>IFERROR(IF(OR(ISBLANK(MISUO[[#This Row],[المدة الفعلية]]), ISBLANK(MISUO[[#This Row],[المدة المتوقعة]])), "", MISUO[[#This Row],[المدة الفعلية]]-MISUO[[#This Row],[المدة المتوقعة]]), "")</calculatedColumnFormula>
    </tableColumn>
    <tableColumn id="25" xr3:uid="{C661A51F-BA3D-43A3-9CDC-6E428DA695FE}" name="تجربة العميل" dataDxfId="16">
      <calculatedColumnFormula>IF(MISUO[[#This Row],[الفرق بين الفعلي والمتوقع]]&gt;3,"سيئة",IF(MISUO[[#This Row],[الفرق بين الفعلي والمتوقع]]&gt;=0,"مقبولة","ممتازة"))</calculatedColumnFormula>
    </tableColumn>
    <tableColumn id="9" xr3:uid="{E8391AAD-A189-4ECD-A46A-2BB65E9FC186}" name="حالة الالتزام" dataDxfId="15">
      <calculatedColumnFormula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calculatedColumnFormula>
    </tableColumn>
    <tableColumn id="16" xr3:uid="{BC801FCF-3878-49F6-AB14-4357915E7295}" name="المسئول عن التسليم"/>
    <tableColumn id="10" xr3:uid="{0F3B7360-526F-4E01-9B96-8227772CBABF}" name="نوع جهة التسليم" dataDxfId="14">
      <calculatedColumnFormula>IF(MISUO[[#This Row],[المسئول عن التسليم]]="شركة الشحن","خارجي", IF(MISUO[[#This Row],[المسئول عن التسليم]]="غير معروف", "غير معروف", "داخلي"))</calculatedColumnFormula>
    </tableColumn>
    <tableColumn id="17" xr3:uid="{B17F4161-E569-4A8D-92DE-5F7F60845988}" name="الحال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0"/>
  <sheetViews>
    <sheetView rightToLeft="1" zoomScale="85" zoomScaleNormal="70" workbookViewId="0">
      <pane ySplit="1" topLeftCell="A2" activePane="bottomLeft" state="frozen"/>
      <selection pane="bottomLeft" activeCell="D115" sqref="D115"/>
    </sheetView>
  </sheetViews>
  <sheetFormatPr defaultColWidth="8.88671875" defaultRowHeight="14.4" x14ac:dyDescent="0.3"/>
  <cols>
    <col min="1" max="1" width="15.21875" style="1" bestFit="1" customWidth="1"/>
    <col min="2" max="2" width="15.21875" style="1" customWidth="1"/>
    <col min="3" max="4" width="30.77734375" style="1" bestFit="1" customWidth="1"/>
    <col min="5" max="5" width="14.44140625" style="1" bestFit="1" customWidth="1"/>
    <col min="6" max="6" width="14.44140625" style="1" customWidth="1"/>
    <col min="7" max="7" width="11.21875" style="1" bestFit="1" customWidth="1"/>
    <col min="8" max="8" width="14.21875" style="1" bestFit="1" customWidth="1"/>
    <col min="9" max="9" width="10.109375" style="1" bestFit="1" customWidth="1"/>
    <col min="10" max="10" width="11.21875" style="1" bestFit="1" customWidth="1"/>
    <col min="11" max="11" width="15.109375" style="1" customWidth="1"/>
    <col min="12" max="12" width="13.5546875" style="1" bestFit="1" customWidth="1"/>
    <col min="13" max="13" width="13.5546875" style="1" customWidth="1"/>
    <col min="14" max="14" width="15.21875" style="3" bestFit="1" customWidth="1"/>
    <col min="15" max="15" width="20.33203125" style="3" customWidth="1"/>
    <col min="16" max="16" width="23.77734375" style="3" bestFit="1" customWidth="1"/>
    <col min="17" max="21" width="23.77734375" style="5" customWidth="1"/>
    <col min="22" max="22" width="28" style="1" bestFit="1" customWidth="1"/>
    <col min="23" max="23" width="28" style="1" customWidth="1"/>
    <col min="24" max="24" width="9.88671875" bestFit="1" customWidth="1"/>
    <col min="25" max="25" width="9.88671875" customWidth="1"/>
    <col min="26" max="16384" width="8.88671875" style="1"/>
  </cols>
  <sheetData>
    <row r="1" spans="1:24" ht="20.100000000000001" customHeight="1" x14ac:dyDescent="0.3">
      <c r="A1" t="s">
        <v>0</v>
      </c>
      <c r="B1" t="s">
        <v>147</v>
      </c>
      <c r="C1" t="s">
        <v>150</v>
      </c>
      <c r="D1" t="s">
        <v>151</v>
      </c>
      <c r="E1" t="s">
        <v>2</v>
      </c>
      <c r="F1" t="s">
        <v>186</v>
      </c>
      <c r="G1" t="s">
        <v>141</v>
      </c>
      <c r="H1" t="s">
        <v>142</v>
      </c>
      <c r="I1" t="s">
        <v>79</v>
      </c>
      <c r="J1" t="s">
        <v>80</v>
      </c>
      <c r="K1" t="s">
        <v>199</v>
      </c>
      <c r="L1" t="s">
        <v>4</v>
      </c>
      <c r="M1" t="s">
        <v>191</v>
      </c>
      <c r="N1" s="2" t="s">
        <v>194</v>
      </c>
      <c r="O1" s="2" t="s">
        <v>195</v>
      </c>
      <c r="P1" s="2" t="s">
        <v>193</v>
      </c>
      <c r="Q1" s="4" t="s">
        <v>197</v>
      </c>
      <c r="R1" s="4" t="s">
        <v>196</v>
      </c>
      <c r="S1" s="4" t="s">
        <v>198</v>
      </c>
      <c r="T1" s="4" t="s">
        <v>203</v>
      </c>
      <c r="U1" s="4" t="s">
        <v>200</v>
      </c>
      <c r="V1" t="s">
        <v>1</v>
      </c>
      <c r="W1" t="s">
        <v>201</v>
      </c>
      <c r="X1" t="s">
        <v>86</v>
      </c>
    </row>
    <row r="2" spans="1:24" ht="20.100000000000001" customHeight="1" x14ac:dyDescent="0.3">
      <c r="A2" t="s">
        <v>12</v>
      </c>
      <c r="B2" t="s">
        <v>148</v>
      </c>
      <c r="C2" t="s">
        <v>32</v>
      </c>
      <c r="D2" t="s">
        <v>158</v>
      </c>
      <c r="E2" t="s">
        <v>3</v>
      </c>
      <c r="F2">
        <v>1</v>
      </c>
      <c r="G2" t="s">
        <v>63</v>
      </c>
      <c r="H2" t="s">
        <v>180</v>
      </c>
      <c r="I2" t="s">
        <v>68</v>
      </c>
      <c r="J2">
        <v>80</v>
      </c>
      <c r="K2" t="s">
        <v>74</v>
      </c>
      <c r="L2">
        <v>16599</v>
      </c>
      <c r="M2" t="s">
        <v>6</v>
      </c>
      <c r="N2" s="2">
        <v>45548</v>
      </c>
      <c r="O2" s="2">
        <v>45565</v>
      </c>
      <c r="P2" s="2">
        <v>45568</v>
      </c>
      <c r="Q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2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2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2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" t="s">
        <v>143</v>
      </c>
      <c r="W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" t="s">
        <v>89</v>
      </c>
    </row>
    <row r="3" spans="1:24" ht="20.100000000000001" customHeight="1" x14ac:dyDescent="0.3">
      <c r="A3" t="s">
        <v>43</v>
      </c>
      <c r="B3" t="s">
        <v>148</v>
      </c>
      <c r="C3" t="s">
        <v>41</v>
      </c>
      <c r="D3" t="s">
        <v>158</v>
      </c>
      <c r="E3" t="s">
        <v>3</v>
      </c>
      <c r="F3">
        <v>1</v>
      </c>
      <c r="G3" t="s">
        <v>63</v>
      </c>
      <c r="H3" t="s">
        <v>180</v>
      </c>
      <c r="I3" t="s">
        <v>68</v>
      </c>
      <c r="J3">
        <v>90</v>
      </c>
      <c r="K3" t="s">
        <v>75</v>
      </c>
      <c r="L3">
        <v>17249</v>
      </c>
      <c r="M3" t="s">
        <v>6</v>
      </c>
      <c r="N3" s="2">
        <v>45548</v>
      </c>
      <c r="O3" s="2">
        <v>45565</v>
      </c>
      <c r="P3" s="2">
        <v>45569</v>
      </c>
      <c r="Q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" s="4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3" s="4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3" s="4" t="str">
        <f>IF(MISUO[[#This Row],[الفرق بين الفعلي والمتوقع]]&gt;3,"سيئة",IF(MISUO[[#This Row],[الفرق بين الفعلي والمتوقع]]&gt;=0,"مقبولة","ممتازة"))</f>
        <v>سيئة</v>
      </c>
      <c r="U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" t="s">
        <v>143</v>
      </c>
      <c r="W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" t="s">
        <v>89</v>
      </c>
    </row>
    <row r="4" spans="1:24" ht="20.100000000000001" customHeight="1" x14ac:dyDescent="0.3">
      <c r="A4" t="s">
        <v>49</v>
      </c>
      <c r="B4" t="s">
        <v>148</v>
      </c>
      <c r="C4" t="s">
        <v>176</v>
      </c>
      <c r="D4" t="s">
        <v>152</v>
      </c>
      <c r="E4" t="s">
        <v>3</v>
      </c>
      <c r="F4">
        <v>1</v>
      </c>
      <c r="G4" t="s">
        <v>63</v>
      </c>
      <c r="H4" t="s">
        <v>181</v>
      </c>
      <c r="I4" t="s">
        <v>182</v>
      </c>
      <c r="J4">
        <v>140</v>
      </c>
      <c r="K4" t="s">
        <v>75</v>
      </c>
      <c r="L4">
        <v>11817</v>
      </c>
      <c r="M4" t="s">
        <v>6</v>
      </c>
      <c r="N4" s="2">
        <v>45549</v>
      </c>
      <c r="O4" s="2">
        <v>45594</v>
      </c>
      <c r="P4" s="2">
        <v>45580</v>
      </c>
      <c r="Q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4" s="4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4" t="s">
        <v>143</v>
      </c>
      <c r="W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" t="s">
        <v>89</v>
      </c>
    </row>
    <row r="5" spans="1:24" ht="20.100000000000001" customHeight="1" x14ac:dyDescent="0.3">
      <c r="A5" t="s">
        <v>9</v>
      </c>
      <c r="B5" t="s">
        <v>148</v>
      </c>
      <c r="C5" t="s">
        <v>178</v>
      </c>
      <c r="D5" t="s">
        <v>157</v>
      </c>
      <c r="E5" t="s">
        <v>3</v>
      </c>
      <c r="F5">
        <v>1</v>
      </c>
      <c r="G5" t="s">
        <v>184</v>
      </c>
      <c r="H5" t="s">
        <v>185</v>
      </c>
      <c r="I5"/>
      <c r="J5"/>
      <c r="K5"/>
      <c r="L5">
        <v>8642</v>
      </c>
      <c r="M5" t="s">
        <v>6</v>
      </c>
      <c r="N5" s="2">
        <v>45529</v>
      </c>
      <c r="O5" s="2">
        <v>45542</v>
      </c>
      <c r="P5" s="2">
        <v>45531</v>
      </c>
      <c r="Q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5" s="4">
        <f>IF(OR(ISBLANK(MISUO[[#This Row],[تاريخ التسليم الفعلي]]), ISBLANK(MISUO[[#This Row],[تاريخ الطلب]])), "", MISUO[[#This Row],[تاريخ التسليم الفعلي]]-MISUO[[#This Row],[تاريخ الطلب]])</f>
        <v>2</v>
      </c>
      <c r="S5" s="4">
        <f>IFERROR(IF(OR(ISBLANK(MISUO[[#This Row],[المدة الفعلية]]), ISBLANK(MISUO[[#This Row],[المدة المتوقعة]])), "", MISUO[[#This Row],[المدة الفعلية]]-MISUO[[#This Row],[المدة المتوقعة]]), "")</f>
        <v>-11</v>
      </c>
      <c r="T5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" t="s">
        <v>202</v>
      </c>
      <c r="W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" t="s">
        <v>89</v>
      </c>
    </row>
    <row r="6" spans="1:24" ht="20.100000000000001" customHeight="1" x14ac:dyDescent="0.3">
      <c r="A6" t="s">
        <v>35</v>
      </c>
      <c r="B6" t="s">
        <v>148</v>
      </c>
      <c r="C6" t="s">
        <v>161</v>
      </c>
      <c r="D6" t="s">
        <v>158</v>
      </c>
      <c r="E6" t="s">
        <v>3</v>
      </c>
      <c r="F6">
        <v>1</v>
      </c>
      <c r="G6" t="s">
        <v>63</v>
      </c>
      <c r="H6" t="s">
        <v>181</v>
      </c>
      <c r="I6" t="s">
        <v>182</v>
      </c>
      <c r="J6">
        <v>120</v>
      </c>
      <c r="K6" t="s">
        <v>75</v>
      </c>
      <c r="L6">
        <v>7460</v>
      </c>
      <c r="M6" t="s">
        <v>6</v>
      </c>
      <c r="N6" s="2">
        <v>45548</v>
      </c>
      <c r="O6" s="2">
        <v>45561</v>
      </c>
      <c r="P6" s="2">
        <v>45568</v>
      </c>
      <c r="Q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6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6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6" s="4" t="str">
        <f>IF(MISUO[[#This Row],[الفرق بين الفعلي والمتوقع]]&gt;3,"سيئة",IF(MISUO[[#This Row],[الفرق بين الفعلي والمتوقع]]&gt;=0,"مقبولة","ممتازة"))</f>
        <v>سيئة</v>
      </c>
      <c r="U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" t="s">
        <v>143</v>
      </c>
      <c r="W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" t="s">
        <v>89</v>
      </c>
    </row>
    <row r="7" spans="1:24" ht="20.100000000000001" customHeight="1" x14ac:dyDescent="0.3">
      <c r="A7" t="s">
        <v>11</v>
      </c>
      <c r="B7" t="s">
        <v>149</v>
      </c>
      <c r="C7" t="s">
        <v>178</v>
      </c>
      <c r="D7" t="s">
        <v>178</v>
      </c>
      <c r="E7" t="s">
        <v>11</v>
      </c>
      <c r="F7">
        <v>1</v>
      </c>
      <c r="G7" t="s">
        <v>71</v>
      </c>
      <c r="H7" t="s">
        <v>63</v>
      </c>
      <c r="I7"/>
      <c r="J7"/>
      <c r="K7" t="s">
        <v>183</v>
      </c>
      <c r="L7">
        <v>14550</v>
      </c>
      <c r="M7" t="s">
        <v>6</v>
      </c>
      <c r="N7" s="2">
        <v>45518</v>
      </c>
      <c r="O7" s="2">
        <v>45538</v>
      </c>
      <c r="P7" s="2">
        <v>45540</v>
      </c>
      <c r="Q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20</v>
      </c>
      <c r="R7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" t="s">
        <v>202</v>
      </c>
      <c r="W7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7" t="s">
        <v>89</v>
      </c>
    </row>
    <row r="8" spans="1:24" ht="20.100000000000001" customHeight="1" x14ac:dyDescent="0.3">
      <c r="A8" t="s">
        <v>12</v>
      </c>
      <c r="B8" t="s">
        <v>148</v>
      </c>
      <c r="C8" t="s">
        <v>178</v>
      </c>
      <c r="D8" t="s">
        <v>178</v>
      </c>
      <c r="E8" t="s">
        <v>125</v>
      </c>
      <c r="F8">
        <v>1</v>
      </c>
      <c r="G8" t="s">
        <v>71</v>
      </c>
      <c r="H8" t="s">
        <v>63</v>
      </c>
      <c r="I8"/>
      <c r="J8"/>
      <c r="K8" t="s">
        <v>183</v>
      </c>
      <c r="L8">
        <v>12000</v>
      </c>
      <c r="M8" t="s">
        <v>192</v>
      </c>
      <c r="N8" s="2">
        <v>45521</v>
      </c>
      <c r="O8" s="2">
        <v>45524</v>
      </c>
      <c r="P8" s="2">
        <v>45523</v>
      </c>
      <c r="Q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3</v>
      </c>
      <c r="R8" s="4">
        <f>IF(OR(ISBLANK(MISUO[[#This Row],[تاريخ التسليم الفعلي]]), ISBLANK(MISUO[[#This Row],[تاريخ الطلب]])), "", MISUO[[#This Row],[تاريخ التسليم الفعلي]]-MISUO[[#This Row],[تاريخ الطلب]])</f>
        <v>2</v>
      </c>
      <c r="S8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" t="s">
        <v>202</v>
      </c>
      <c r="W8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8" t="s">
        <v>89</v>
      </c>
    </row>
    <row r="9" spans="1:24" ht="20.100000000000001" customHeight="1" x14ac:dyDescent="0.3">
      <c r="A9" t="s">
        <v>34</v>
      </c>
      <c r="B9" t="s">
        <v>148</v>
      </c>
      <c r="C9" t="s">
        <v>164</v>
      </c>
      <c r="D9" t="s">
        <v>95</v>
      </c>
      <c r="E9" t="s">
        <v>3</v>
      </c>
      <c r="F9">
        <v>1</v>
      </c>
      <c r="G9" t="s">
        <v>63</v>
      </c>
      <c r="H9" t="s">
        <v>73</v>
      </c>
      <c r="I9" t="s">
        <v>68</v>
      </c>
      <c r="J9">
        <v>140</v>
      </c>
      <c r="K9" t="s">
        <v>77</v>
      </c>
      <c r="L9">
        <v>13099</v>
      </c>
      <c r="M9" t="s">
        <v>6</v>
      </c>
      <c r="N9" s="2">
        <v>45548</v>
      </c>
      <c r="O9" s="2">
        <v>45565</v>
      </c>
      <c r="P9" s="2">
        <v>45568</v>
      </c>
      <c r="Q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9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9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" t="s">
        <v>202</v>
      </c>
      <c r="W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9" t="s">
        <v>89</v>
      </c>
    </row>
    <row r="10" spans="1:24" ht="20.100000000000001" customHeight="1" x14ac:dyDescent="0.3">
      <c r="A10" t="s">
        <v>15</v>
      </c>
      <c r="B10" t="s">
        <v>149</v>
      </c>
      <c r="C10" t="s">
        <v>160</v>
      </c>
      <c r="D10" t="s">
        <v>158</v>
      </c>
      <c r="E10" t="s">
        <v>16</v>
      </c>
      <c r="F10">
        <v>1</v>
      </c>
      <c r="G10" t="s">
        <v>69</v>
      </c>
      <c r="H10" t="s">
        <v>63</v>
      </c>
      <c r="I10"/>
      <c r="J10"/>
      <c r="K10"/>
      <c r="L10">
        <v>22000</v>
      </c>
      <c r="M10" t="s">
        <v>192</v>
      </c>
      <c r="N10" s="2">
        <v>45523</v>
      </c>
      <c r="O10" s="2">
        <v>45536</v>
      </c>
      <c r="P10" s="2">
        <v>45552</v>
      </c>
      <c r="Q1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" s="4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10" s="4">
        <f>IFERROR(IF(OR(ISBLANK(MISUO[[#This Row],[المدة الفعلية]]), ISBLANK(MISUO[[#This Row],[المدة المتوقعة]])), "", MISUO[[#This Row],[المدة الفعلية]]-MISUO[[#This Row],[المدة المتوقعة]]), "")</f>
        <v>16</v>
      </c>
      <c r="T10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" t="s">
        <v>145</v>
      </c>
      <c r="W10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0" t="s">
        <v>89</v>
      </c>
    </row>
    <row r="11" spans="1:24" ht="20.100000000000001" customHeight="1" x14ac:dyDescent="0.3">
      <c r="A11" t="s">
        <v>15</v>
      </c>
      <c r="B11" t="s">
        <v>149</v>
      </c>
      <c r="C11" t="s">
        <v>160</v>
      </c>
      <c r="D11" t="s">
        <v>158</v>
      </c>
      <c r="E11" t="s">
        <v>16</v>
      </c>
      <c r="F11">
        <v>2</v>
      </c>
      <c r="G11" t="s">
        <v>71</v>
      </c>
      <c r="H11" t="s">
        <v>70</v>
      </c>
      <c r="I11"/>
      <c r="J11"/>
      <c r="K11"/>
      <c r="L11">
        <v>16000</v>
      </c>
      <c r="M11" t="s">
        <v>192</v>
      </c>
      <c r="N11" s="2"/>
      <c r="O11" s="2"/>
      <c r="P11" s="2"/>
      <c r="Q11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11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" t="s">
        <v>13</v>
      </c>
      <c r="W1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" t="s">
        <v>87</v>
      </c>
    </row>
    <row r="12" spans="1:24" ht="20.100000000000001" customHeight="1" x14ac:dyDescent="0.3">
      <c r="A12" t="s">
        <v>15</v>
      </c>
      <c r="B12" t="s">
        <v>149</v>
      </c>
      <c r="C12" t="s">
        <v>160</v>
      </c>
      <c r="D12" t="s">
        <v>158</v>
      </c>
      <c r="E12" t="s">
        <v>16</v>
      </c>
      <c r="F12">
        <v>2</v>
      </c>
      <c r="G12" t="s">
        <v>71</v>
      </c>
      <c r="H12" t="s">
        <v>70</v>
      </c>
      <c r="I12"/>
      <c r="J12"/>
      <c r="K12"/>
      <c r="L12">
        <v>6000</v>
      </c>
      <c r="M12" t="s">
        <v>192</v>
      </c>
      <c r="N12" s="2">
        <v>45529</v>
      </c>
      <c r="O12" s="2">
        <v>45550</v>
      </c>
      <c r="P12" s="2">
        <v>45552</v>
      </c>
      <c r="Q1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12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12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2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2" t="s">
        <v>143</v>
      </c>
      <c r="W1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" t="s">
        <v>89</v>
      </c>
    </row>
    <row r="13" spans="1:24" ht="20.100000000000001" customHeight="1" x14ac:dyDescent="0.3">
      <c r="A13" t="s">
        <v>29</v>
      </c>
      <c r="B13" t="s">
        <v>148</v>
      </c>
      <c r="C13" t="s">
        <v>168</v>
      </c>
      <c r="D13" t="s">
        <v>152</v>
      </c>
      <c r="E13" t="s">
        <v>125</v>
      </c>
      <c r="F13">
        <v>1</v>
      </c>
      <c r="G13" t="s">
        <v>63</v>
      </c>
      <c r="H13" t="s">
        <v>180</v>
      </c>
      <c r="I13"/>
      <c r="J13">
        <v>100</v>
      </c>
      <c r="K13"/>
      <c r="L13">
        <v>9450</v>
      </c>
      <c r="M13" t="s">
        <v>192</v>
      </c>
      <c r="N13" s="2">
        <v>45547</v>
      </c>
      <c r="O13" s="2">
        <v>45561</v>
      </c>
      <c r="P13" s="2"/>
      <c r="Q1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1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3" s="2" t="str">
        <f>IF(MISUO[[#This Row],[الفرق بين الفعلي والمتوقع]]&gt;3,"سيئة",IF(MISUO[[#This Row],[الفرق بين الفعلي والمتوقع]]&gt;=0,"مقبولة","ممتازة"))</f>
        <v>سيئة</v>
      </c>
      <c r="U1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3" t="s">
        <v>87</v>
      </c>
      <c r="W1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3" t="s">
        <v>87</v>
      </c>
    </row>
    <row r="14" spans="1:24" ht="20.100000000000001" customHeight="1" x14ac:dyDescent="0.3">
      <c r="A14" t="s">
        <v>8</v>
      </c>
      <c r="B14" t="s">
        <v>148</v>
      </c>
      <c r="C14" t="s">
        <v>155</v>
      </c>
      <c r="D14" t="s">
        <v>156</v>
      </c>
      <c r="E14" t="s">
        <v>3</v>
      </c>
      <c r="F14">
        <v>1</v>
      </c>
      <c r="G14" t="s">
        <v>63</v>
      </c>
      <c r="H14" t="s">
        <v>73</v>
      </c>
      <c r="I14" t="s">
        <v>68</v>
      </c>
      <c r="J14">
        <v>90</v>
      </c>
      <c r="K14"/>
      <c r="L14">
        <v>11455</v>
      </c>
      <c r="M14" t="s">
        <v>192</v>
      </c>
      <c r="N14" s="2">
        <v>45500</v>
      </c>
      <c r="O14" s="2"/>
      <c r="P14" s="2"/>
      <c r="Q14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1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4" s="2" t="str">
        <f>IF(MISUO[[#This Row],[الفرق بين الفعلي والمتوقع]]&gt;3,"سيئة",IF(MISUO[[#This Row],[الفرق بين الفعلي والمتوقع]]&gt;=0,"مقبولة","ممتازة"))</f>
        <v>سيئة</v>
      </c>
      <c r="U14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4" t="s">
        <v>13</v>
      </c>
      <c r="W1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4" t="s">
        <v>87</v>
      </c>
    </row>
    <row r="15" spans="1:24" ht="20.100000000000001" customHeight="1" x14ac:dyDescent="0.3">
      <c r="A15" t="s">
        <v>22</v>
      </c>
      <c r="B15" t="s">
        <v>148</v>
      </c>
      <c r="C15" t="s">
        <v>23</v>
      </c>
      <c r="D15" t="s">
        <v>158</v>
      </c>
      <c r="E15" t="s">
        <v>3</v>
      </c>
      <c r="F15">
        <v>1</v>
      </c>
      <c r="G15" t="s">
        <v>184</v>
      </c>
      <c r="H15" t="s">
        <v>185</v>
      </c>
      <c r="I15"/>
      <c r="J15"/>
      <c r="K15"/>
      <c r="L15">
        <v>7849</v>
      </c>
      <c r="M15" t="s">
        <v>6</v>
      </c>
      <c r="N15" s="2">
        <v>45539</v>
      </c>
      <c r="O15" s="2">
        <v>45551</v>
      </c>
      <c r="P15" s="2">
        <v>45560</v>
      </c>
      <c r="Q1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5" s="4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15" s="4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15" s="2" t="str">
        <f>IF(MISUO[[#This Row],[الفرق بين الفعلي والمتوقع]]&gt;3,"سيئة",IF(MISUO[[#This Row],[الفرق بين الفعلي والمتوقع]]&gt;=0,"مقبولة","ممتازة"))</f>
        <v>سيئة</v>
      </c>
      <c r="U15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5" t="s">
        <v>202</v>
      </c>
      <c r="W1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15" t="s">
        <v>93</v>
      </c>
    </row>
    <row r="16" spans="1:24" ht="20.100000000000001" customHeight="1" x14ac:dyDescent="0.3">
      <c r="A16" t="s">
        <v>19</v>
      </c>
      <c r="B16" t="s">
        <v>148</v>
      </c>
      <c r="C16" t="s">
        <v>20</v>
      </c>
      <c r="D16" t="s">
        <v>158</v>
      </c>
      <c r="E16" t="s">
        <v>146</v>
      </c>
      <c r="F16">
        <v>2</v>
      </c>
      <c r="G16" t="s">
        <v>63</v>
      </c>
      <c r="H16" t="s">
        <v>73</v>
      </c>
      <c r="I16" t="s">
        <v>68</v>
      </c>
      <c r="J16">
        <v>120</v>
      </c>
      <c r="K16" t="s">
        <v>75</v>
      </c>
      <c r="L16">
        <v>9700</v>
      </c>
      <c r="M16" t="s">
        <v>192</v>
      </c>
      <c r="N16" s="2">
        <v>45538</v>
      </c>
      <c r="O16" s="2">
        <v>45551</v>
      </c>
      <c r="P16" s="2">
        <v>45550</v>
      </c>
      <c r="Q1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6" s="4">
        <f>IF(OR(ISBLANK(MISUO[[#This Row],[تاريخ التسليم الفعلي]]), ISBLANK(MISUO[[#This Row],[تاريخ الطلب]])), "", MISUO[[#This Row],[تاريخ التسليم الفعلي]]-MISUO[[#This Row],[تاريخ الطلب]])</f>
        <v>12</v>
      </c>
      <c r="S16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1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6" t="s">
        <v>143</v>
      </c>
      <c r="W1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6" t="s">
        <v>89</v>
      </c>
    </row>
    <row r="17" spans="1:24" ht="20.100000000000001" customHeight="1" x14ac:dyDescent="0.3">
      <c r="A17" t="s">
        <v>11</v>
      </c>
      <c r="B17" t="s">
        <v>149</v>
      </c>
      <c r="C17" t="s">
        <v>178</v>
      </c>
      <c r="D17" t="s">
        <v>178</v>
      </c>
      <c r="E17" t="s">
        <v>11</v>
      </c>
      <c r="F17">
        <v>1</v>
      </c>
      <c r="G17" t="s">
        <v>63</v>
      </c>
      <c r="H17" t="s">
        <v>73</v>
      </c>
      <c r="I17" t="s">
        <v>67</v>
      </c>
      <c r="J17">
        <v>100</v>
      </c>
      <c r="K17"/>
      <c r="L17">
        <v>9208</v>
      </c>
      <c r="M17" t="s">
        <v>192</v>
      </c>
      <c r="N17" s="2">
        <v>45536</v>
      </c>
      <c r="O17" s="2">
        <v>45554</v>
      </c>
      <c r="P17" s="2">
        <v>45556</v>
      </c>
      <c r="Q1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17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17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7" t="s">
        <v>143</v>
      </c>
      <c r="W1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7" t="s">
        <v>89</v>
      </c>
    </row>
    <row r="18" spans="1:24" ht="20.100000000000001" customHeight="1" x14ac:dyDescent="0.3">
      <c r="A18" t="s">
        <v>12</v>
      </c>
      <c r="B18" t="s">
        <v>148</v>
      </c>
      <c r="C18" t="s">
        <v>161</v>
      </c>
      <c r="D18" t="s">
        <v>158</v>
      </c>
      <c r="E18" t="s">
        <v>3</v>
      </c>
      <c r="F18">
        <v>4</v>
      </c>
      <c r="G18" t="s">
        <v>63</v>
      </c>
      <c r="H18" t="s">
        <v>181</v>
      </c>
      <c r="I18" t="s">
        <v>82</v>
      </c>
      <c r="J18">
        <v>80</v>
      </c>
      <c r="K18" t="s">
        <v>74</v>
      </c>
      <c r="L18">
        <v>7987</v>
      </c>
      <c r="M18" t="s">
        <v>6</v>
      </c>
      <c r="N18" s="2">
        <v>45541</v>
      </c>
      <c r="O18" s="2">
        <v>45551</v>
      </c>
      <c r="P18" s="2">
        <v>45556</v>
      </c>
      <c r="Q1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8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8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8" s="4" t="str">
        <f>IF(MISUO[[#This Row],[الفرق بين الفعلي والمتوقع]]&gt;3,"سيئة",IF(MISUO[[#This Row],[الفرق بين الفعلي والمتوقع]]&gt;=0,"مقبولة","ممتازة"))</f>
        <v>سيئة</v>
      </c>
      <c r="U1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8" t="s">
        <v>143</v>
      </c>
      <c r="W1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8" t="s">
        <v>89</v>
      </c>
    </row>
    <row r="19" spans="1:24" ht="20.100000000000001" customHeight="1" x14ac:dyDescent="0.3">
      <c r="A19" t="s">
        <v>16</v>
      </c>
      <c r="B19" t="s">
        <v>149</v>
      </c>
      <c r="C19" t="s">
        <v>160</v>
      </c>
      <c r="D19" t="s">
        <v>158</v>
      </c>
      <c r="E19" t="s">
        <v>16</v>
      </c>
      <c r="F19">
        <v>2</v>
      </c>
      <c r="G19" t="s">
        <v>190</v>
      </c>
      <c r="H19"/>
      <c r="I19" t="s">
        <v>96</v>
      </c>
      <c r="J19"/>
      <c r="K19"/>
      <c r="L19">
        <v>9300</v>
      </c>
      <c r="M19" t="s">
        <v>192</v>
      </c>
      <c r="N19" s="2">
        <v>45539</v>
      </c>
      <c r="O19" s="2">
        <v>45550</v>
      </c>
      <c r="P19" s="2">
        <v>45552</v>
      </c>
      <c r="Q1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9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19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9" t="s">
        <v>143</v>
      </c>
      <c r="W1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9" t="s">
        <v>89</v>
      </c>
    </row>
    <row r="20" spans="1:24" ht="20.100000000000001" customHeight="1" x14ac:dyDescent="0.3">
      <c r="A20" t="s">
        <v>12</v>
      </c>
      <c r="B20" t="s">
        <v>148</v>
      </c>
      <c r="C20" t="s">
        <v>161</v>
      </c>
      <c r="D20" t="s">
        <v>158</v>
      </c>
      <c r="E20" t="s">
        <v>3</v>
      </c>
      <c r="F20">
        <v>4</v>
      </c>
      <c r="G20" t="s">
        <v>63</v>
      </c>
      <c r="H20" t="s">
        <v>181</v>
      </c>
      <c r="I20" t="s">
        <v>82</v>
      </c>
      <c r="J20">
        <v>80</v>
      </c>
      <c r="K20" t="s">
        <v>74</v>
      </c>
      <c r="L20">
        <v>7987</v>
      </c>
      <c r="M20" t="s">
        <v>6</v>
      </c>
      <c r="N20" s="2">
        <v>45541</v>
      </c>
      <c r="O20" s="2">
        <v>45551</v>
      </c>
      <c r="P20" s="2">
        <v>45556</v>
      </c>
      <c r="Q2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0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0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0" s="4" t="str">
        <f>IF(MISUO[[#This Row],[الفرق بين الفعلي والمتوقع]]&gt;3,"سيئة",IF(MISUO[[#This Row],[الفرق بين الفعلي والمتوقع]]&gt;=0,"مقبولة","ممتازة"))</f>
        <v>سيئة</v>
      </c>
      <c r="U2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0" t="s">
        <v>143</v>
      </c>
      <c r="W2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0" t="s">
        <v>89</v>
      </c>
    </row>
    <row r="21" spans="1:24" ht="20.100000000000001" customHeight="1" x14ac:dyDescent="0.3">
      <c r="A21" t="s">
        <v>12</v>
      </c>
      <c r="B21" t="s">
        <v>148</v>
      </c>
      <c r="C21" t="s">
        <v>161</v>
      </c>
      <c r="D21" t="s">
        <v>158</v>
      </c>
      <c r="E21" t="s">
        <v>3</v>
      </c>
      <c r="F21">
        <v>4</v>
      </c>
      <c r="G21" t="s">
        <v>63</v>
      </c>
      <c r="H21" t="s">
        <v>181</v>
      </c>
      <c r="I21" t="s">
        <v>82</v>
      </c>
      <c r="J21">
        <v>80</v>
      </c>
      <c r="K21" t="s">
        <v>74</v>
      </c>
      <c r="L21">
        <v>7987</v>
      </c>
      <c r="M21" t="s">
        <v>6</v>
      </c>
      <c r="N21" s="2">
        <v>45541</v>
      </c>
      <c r="O21" s="2">
        <v>45551</v>
      </c>
      <c r="P21" s="2">
        <v>45556</v>
      </c>
      <c r="Q2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1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1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1" s="4" t="str">
        <f>IF(MISUO[[#This Row],[الفرق بين الفعلي والمتوقع]]&gt;3,"سيئة",IF(MISUO[[#This Row],[الفرق بين الفعلي والمتوقع]]&gt;=0,"مقبولة","ممتازة"))</f>
        <v>سيئة</v>
      </c>
      <c r="U2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1" t="s">
        <v>143</v>
      </c>
      <c r="W2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1" t="s">
        <v>89</v>
      </c>
    </row>
    <row r="22" spans="1:24" ht="20.100000000000001" customHeight="1" x14ac:dyDescent="0.3">
      <c r="A22" t="s">
        <v>12</v>
      </c>
      <c r="B22" t="s">
        <v>148</v>
      </c>
      <c r="C22" t="s">
        <v>161</v>
      </c>
      <c r="D22" t="s">
        <v>158</v>
      </c>
      <c r="E22" t="s">
        <v>3</v>
      </c>
      <c r="F22">
        <v>4</v>
      </c>
      <c r="G22" t="s">
        <v>63</v>
      </c>
      <c r="H22" t="s">
        <v>181</v>
      </c>
      <c r="I22" t="s">
        <v>82</v>
      </c>
      <c r="J22">
        <v>80</v>
      </c>
      <c r="K22" t="s">
        <v>74</v>
      </c>
      <c r="L22">
        <v>7987</v>
      </c>
      <c r="M22" t="s">
        <v>6</v>
      </c>
      <c r="N22" s="2">
        <v>45541</v>
      </c>
      <c r="O22" s="2">
        <v>45551</v>
      </c>
      <c r="P22" s="2">
        <v>45556</v>
      </c>
      <c r="Q2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2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2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2" s="4" t="str">
        <f>IF(MISUO[[#This Row],[الفرق بين الفعلي والمتوقع]]&gt;3,"سيئة",IF(MISUO[[#This Row],[الفرق بين الفعلي والمتوقع]]&gt;=0,"مقبولة","ممتازة"))</f>
        <v>سيئة</v>
      </c>
      <c r="U2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2" t="s">
        <v>143</v>
      </c>
      <c r="W2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2" t="s">
        <v>89</v>
      </c>
    </row>
    <row r="23" spans="1:24" ht="20.100000000000001" customHeight="1" x14ac:dyDescent="0.3">
      <c r="A23" t="s">
        <v>40</v>
      </c>
      <c r="B23" t="s">
        <v>148</v>
      </c>
      <c r="C23" t="s">
        <v>41</v>
      </c>
      <c r="D23" t="s">
        <v>158</v>
      </c>
      <c r="E23" t="s">
        <v>3</v>
      </c>
      <c r="F23">
        <v>1</v>
      </c>
      <c r="G23" t="s">
        <v>184</v>
      </c>
      <c r="H23" t="s">
        <v>185</v>
      </c>
      <c r="I23"/>
      <c r="J23"/>
      <c r="K23"/>
      <c r="L23">
        <v>8849</v>
      </c>
      <c r="M23" t="s">
        <v>6</v>
      </c>
      <c r="N23" s="2">
        <v>45538</v>
      </c>
      <c r="O23" s="2">
        <v>45581</v>
      </c>
      <c r="P23" s="2"/>
      <c r="Q2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43</v>
      </c>
      <c r="R2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3" s="2" t="str">
        <f>IF(MISUO[[#This Row],[الفرق بين الفعلي والمتوقع]]&gt;3,"سيئة",IF(MISUO[[#This Row],[الفرق بين الفعلي والمتوقع]]&gt;=0,"مقبولة","ممتازة"))</f>
        <v>سيئة</v>
      </c>
      <c r="U2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3" t="s">
        <v>87</v>
      </c>
      <c r="W2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3" t="s">
        <v>87</v>
      </c>
    </row>
    <row r="24" spans="1:24" ht="20.100000000000001" customHeight="1" x14ac:dyDescent="0.3">
      <c r="A24" t="s">
        <v>21</v>
      </c>
      <c r="B24" t="s">
        <v>149</v>
      </c>
      <c r="C24" t="s">
        <v>175</v>
      </c>
      <c r="D24" t="s">
        <v>158</v>
      </c>
      <c r="E24" t="s">
        <v>3</v>
      </c>
      <c r="F24">
        <v>1</v>
      </c>
      <c r="G24" t="s">
        <v>63</v>
      </c>
      <c r="H24" t="s">
        <v>73</v>
      </c>
      <c r="I24" t="s">
        <v>67</v>
      </c>
      <c r="J24">
        <v>80</v>
      </c>
      <c r="K24"/>
      <c r="L24">
        <v>11199</v>
      </c>
      <c r="M24" t="s">
        <v>192</v>
      </c>
      <c r="N24" s="2">
        <v>45539</v>
      </c>
      <c r="O24" s="2">
        <v>45553</v>
      </c>
      <c r="P24" s="2"/>
      <c r="Q2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2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4" s="2" t="str">
        <f>IF(MISUO[[#This Row],[الفرق بين الفعلي والمتوقع]]&gt;3,"سيئة",IF(MISUO[[#This Row],[الفرق بين الفعلي والمتوقع]]&gt;=0,"مقبولة","ممتازة"))</f>
        <v>سيئة</v>
      </c>
      <c r="U24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4" t="s">
        <v>87</v>
      </c>
      <c r="W2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4" t="s">
        <v>87</v>
      </c>
    </row>
    <row r="25" spans="1:24" ht="20.100000000000001" customHeight="1" x14ac:dyDescent="0.3">
      <c r="A25" t="s">
        <v>11</v>
      </c>
      <c r="B25" t="s">
        <v>149</v>
      </c>
      <c r="C25" t="s">
        <v>178</v>
      </c>
      <c r="D25" t="s">
        <v>178</v>
      </c>
      <c r="E25" t="s">
        <v>11</v>
      </c>
      <c r="F25">
        <v>1</v>
      </c>
      <c r="G25" t="s">
        <v>63</v>
      </c>
      <c r="H25" t="s">
        <v>73</v>
      </c>
      <c r="I25" t="s">
        <v>67</v>
      </c>
      <c r="J25">
        <v>100</v>
      </c>
      <c r="K25"/>
      <c r="L25">
        <v>9208</v>
      </c>
      <c r="M25" t="s">
        <v>192</v>
      </c>
      <c r="N25" s="2">
        <v>45536</v>
      </c>
      <c r="O25" s="2">
        <v>45554</v>
      </c>
      <c r="P25" s="2">
        <v>45556</v>
      </c>
      <c r="Q2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25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25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25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5" t="s">
        <v>143</v>
      </c>
      <c r="W2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5" t="s">
        <v>89</v>
      </c>
    </row>
    <row r="26" spans="1:24" ht="20.100000000000001" customHeight="1" x14ac:dyDescent="0.3">
      <c r="A26" t="s">
        <v>10</v>
      </c>
      <c r="B26" t="s">
        <v>148</v>
      </c>
      <c r="C26" t="s">
        <v>155</v>
      </c>
      <c r="D26" t="s">
        <v>156</v>
      </c>
      <c r="E26" t="s">
        <v>3</v>
      </c>
      <c r="F26">
        <v>1</v>
      </c>
      <c r="G26" t="s">
        <v>63</v>
      </c>
      <c r="H26" t="s">
        <v>73</v>
      </c>
      <c r="I26" t="s">
        <v>65</v>
      </c>
      <c r="J26">
        <v>100</v>
      </c>
      <c r="K26"/>
      <c r="L26">
        <v>12833</v>
      </c>
      <c r="M26" t="s">
        <v>192</v>
      </c>
      <c r="N26" s="2">
        <v>45520</v>
      </c>
      <c r="O26" s="2">
        <v>45535</v>
      </c>
      <c r="P26" s="2"/>
      <c r="Q2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26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6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6" s="2" t="str">
        <f>IF(MISUO[[#This Row],[الفرق بين الفعلي والمتوقع]]&gt;3,"سيئة",IF(MISUO[[#This Row],[الفرق بين الفعلي والمتوقع]]&gt;=0,"مقبولة","ممتازة"))</f>
        <v>سيئة</v>
      </c>
      <c r="U26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6" t="s">
        <v>13</v>
      </c>
      <c r="W2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6" t="s">
        <v>87</v>
      </c>
    </row>
    <row r="27" spans="1:24" ht="20.100000000000001" customHeight="1" x14ac:dyDescent="0.3">
      <c r="A27" t="s">
        <v>30</v>
      </c>
      <c r="B27" t="s">
        <v>149</v>
      </c>
      <c r="C27" t="s">
        <v>162</v>
      </c>
      <c r="D27" t="s">
        <v>163</v>
      </c>
      <c r="E27" t="s">
        <v>146</v>
      </c>
      <c r="F27">
        <v>2</v>
      </c>
      <c r="G27" t="s">
        <v>63</v>
      </c>
      <c r="H27" t="s">
        <v>181</v>
      </c>
      <c r="I27" t="s">
        <v>82</v>
      </c>
      <c r="J27">
        <v>120</v>
      </c>
      <c r="K27" t="s">
        <v>74</v>
      </c>
      <c r="L27">
        <v>4020</v>
      </c>
      <c r="M27" t="s">
        <v>31</v>
      </c>
      <c r="N27" s="2">
        <v>45547</v>
      </c>
      <c r="O27" s="2">
        <v>45556</v>
      </c>
      <c r="P27" s="2">
        <v>45557</v>
      </c>
      <c r="Q2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27" s="4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27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2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7" t="s">
        <v>143</v>
      </c>
      <c r="W2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7" t="s">
        <v>89</v>
      </c>
    </row>
    <row r="28" spans="1:24" ht="20.100000000000001" customHeight="1" x14ac:dyDescent="0.3">
      <c r="A28" t="s">
        <v>30</v>
      </c>
      <c r="B28" t="s">
        <v>149</v>
      </c>
      <c r="C28" t="s">
        <v>162</v>
      </c>
      <c r="D28" t="s">
        <v>163</v>
      </c>
      <c r="E28" t="s">
        <v>146</v>
      </c>
      <c r="F28">
        <v>2</v>
      </c>
      <c r="G28" t="s">
        <v>63</v>
      </c>
      <c r="H28" t="s">
        <v>181</v>
      </c>
      <c r="I28" t="s">
        <v>76</v>
      </c>
      <c r="J28">
        <v>120</v>
      </c>
      <c r="K28" t="s">
        <v>75</v>
      </c>
      <c r="L28">
        <v>4020</v>
      </c>
      <c r="M28" t="s">
        <v>6</v>
      </c>
      <c r="N28" s="2">
        <v>45547</v>
      </c>
      <c r="O28" s="2">
        <v>45556</v>
      </c>
      <c r="P28" s="2">
        <v>45557</v>
      </c>
      <c r="Q2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28" s="4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28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28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8" t="s">
        <v>143</v>
      </c>
      <c r="W2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8" t="s">
        <v>89</v>
      </c>
    </row>
    <row r="29" spans="1:24" ht="20.100000000000001" customHeight="1" x14ac:dyDescent="0.3">
      <c r="A29" t="s">
        <v>17</v>
      </c>
      <c r="B29" t="s">
        <v>148</v>
      </c>
      <c r="C29" t="s">
        <v>174</v>
      </c>
      <c r="D29" t="s">
        <v>158</v>
      </c>
      <c r="E29" t="s">
        <v>3</v>
      </c>
      <c r="F29">
        <v>1</v>
      </c>
      <c r="G29" t="s">
        <v>63</v>
      </c>
      <c r="H29" t="s">
        <v>73</v>
      </c>
      <c r="I29" t="s">
        <v>65</v>
      </c>
      <c r="J29">
        <v>80</v>
      </c>
      <c r="K29"/>
      <c r="L29">
        <v>10499</v>
      </c>
      <c r="M29" t="s">
        <v>192</v>
      </c>
      <c r="N29" s="2">
        <v>45536</v>
      </c>
      <c r="O29" s="2">
        <v>45551</v>
      </c>
      <c r="P29" s="2">
        <v>45543</v>
      </c>
      <c r="Q2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29" s="4">
        <f>IF(OR(ISBLANK(MISUO[[#This Row],[تاريخ التسليم الفعلي]]), ISBLANK(MISUO[[#This Row],[تاريخ الطلب]])), "", MISUO[[#This Row],[تاريخ التسليم الفعلي]]-MISUO[[#This Row],[تاريخ الطلب]])</f>
        <v>7</v>
      </c>
      <c r="S29" s="4">
        <f>IFERROR(IF(OR(ISBLANK(MISUO[[#This Row],[المدة الفعلية]]), ISBLANK(MISUO[[#This Row],[المدة المتوقعة]])), "", MISUO[[#This Row],[المدة الفعلية]]-MISUO[[#This Row],[المدة المتوقعة]]), "")</f>
        <v>-8</v>
      </c>
      <c r="T2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2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29" t="s">
        <v>202</v>
      </c>
      <c r="W2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29" t="s">
        <v>89</v>
      </c>
    </row>
    <row r="30" spans="1:24" ht="20.100000000000001" customHeight="1" x14ac:dyDescent="0.3">
      <c r="A30" t="s">
        <v>62</v>
      </c>
      <c r="B30" t="s">
        <v>148</v>
      </c>
      <c r="C30" t="s">
        <v>165</v>
      </c>
      <c r="D30" t="s">
        <v>166</v>
      </c>
      <c r="E30" t="s">
        <v>3</v>
      </c>
      <c r="F30">
        <v>1</v>
      </c>
      <c r="G30" t="s">
        <v>184</v>
      </c>
      <c r="H30" t="s">
        <v>185</v>
      </c>
      <c r="I30"/>
      <c r="J30"/>
      <c r="K30"/>
      <c r="L30">
        <v>8349</v>
      </c>
      <c r="M30" t="s">
        <v>6</v>
      </c>
      <c r="N30" s="2">
        <v>45549</v>
      </c>
      <c r="O30" s="2">
        <v>45557</v>
      </c>
      <c r="P30" s="2">
        <v>45559</v>
      </c>
      <c r="Q3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30" s="4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30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30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3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0" t="s">
        <v>202</v>
      </c>
      <c r="W3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0" t="s">
        <v>89</v>
      </c>
    </row>
    <row r="31" spans="1:24" ht="20.100000000000001" customHeight="1" x14ac:dyDescent="0.3">
      <c r="A31" t="s">
        <v>14</v>
      </c>
      <c r="B31" t="s">
        <v>148</v>
      </c>
      <c r="C31" t="s">
        <v>178</v>
      </c>
      <c r="D31" t="s">
        <v>178</v>
      </c>
      <c r="E31" t="s">
        <v>3</v>
      </c>
      <c r="F31">
        <v>1</v>
      </c>
      <c r="G31" t="s">
        <v>63</v>
      </c>
      <c r="H31" t="s">
        <v>181</v>
      </c>
      <c r="I31"/>
      <c r="J31"/>
      <c r="K31"/>
      <c r="L31">
        <v>7228</v>
      </c>
      <c r="M31" t="s">
        <v>6</v>
      </c>
      <c r="N31" s="2">
        <v>45529</v>
      </c>
      <c r="O31" s="2">
        <v>45538</v>
      </c>
      <c r="P31" s="2">
        <v>45545</v>
      </c>
      <c r="Q3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31" s="4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31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31" s="4" t="str">
        <f>IF(MISUO[[#This Row],[الفرق بين الفعلي والمتوقع]]&gt;3,"سيئة",IF(MISUO[[#This Row],[الفرق بين الفعلي والمتوقع]]&gt;=0,"مقبولة","ممتازة"))</f>
        <v>سيئة</v>
      </c>
      <c r="U3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1" t="s">
        <v>202</v>
      </c>
      <c r="W31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1" t="s">
        <v>89</v>
      </c>
    </row>
    <row r="32" spans="1:24" ht="20.100000000000001" customHeight="1" x14ac:dyDescent="0.3">
      <c r="A32" t="s">
        <v>26</v>
      </c>
      <c r="B32" t="s">
        <v>148</v>
      </c>
      <c r="C32" t="s">
        <v>167</v>
      </c>
      <c r="D32" t="s">
        <v>158</v>
      </c>
      <c r="E32" t="s">
        <v>3</v>
      </c>
      <c r="F32">
        <v>1</v>
      </c>
      <c r="G32" t="s">
        <v>184</v>
      </c>
      <c r="H32" t="s">
        <v>185</v>
      </c>
      <c r="I32"/>
      <c r="J32"/>
      <c r="K32"/>
      <c r="L32">
        <v>7928</v>
      </c>
      <c r="M32" t="s">
        <v>192</v>
      </c>
      <c r="N32" s="2">
        <v>45547</v>
      </c>
      <c r="O32" s="2">
        <v>45561</v>
      </c>
      <c r="P32" s="2"/>
      <c r="Q3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32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32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32" s="4" t="str">
        <f>IF(MISUO[[#This Row],[الفرق بين الفعلي والمتوقع]]&gt;3,"سيئة",IF(MISUO[[#This Row],[الفرق بين الفعلي والمتوقع]]&gt;=0,"مقبولة","ممتازة"))</f>
        <v>سيئة</v>
      </c>
      <c r="U3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2" t="s">
        <v>202</v>
      </c>
      <c r="W32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2" t="s">
        <v>89</v>
      </c>
    </row>
    <row r="33" spans="1:24" ht="20.100000000000001" customHeight="1" x14ac:dyDescent="0.3">
      <c r="A33" t="s">
        <v>25</v>
      </c>
      <c r="B33" t="s">
        <v>148</v>
      </c>
      <c r="C33" t="s">
        <v>159</v>
      </c>
      <c r="D33" t="s">
        <v>152</v>
      </c>
      <c r="E33" t="s">
        <v>3</v>
      </c>
      <c r="F33">
        <v>1</v>
      </c>
      <c r="G33" t="s">
        <v>63</v>
      </c>
      <c r="H33" t="s">
        <v>181</v>
      </c>
      <c r="I33" t="s">
        <v>182</v>
      </c>
      <c r="J33">
        <v>120</v>
      </c>
      <c r="K33"/>
      <c r="L33">
        <v>10987</v>
      </c>
      <c r="M33" t="s">
        <v>6</v>
      </c>
      <c r="N33" s="2">
        <v>45544</v>
      </c>
      <c r="O33" s="2">
        <v>45552</v>
      </c>
      <c r="P33" s="2">
        <v>45556</v>
      </c>
      <c r="Q3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33" s="4">
        <f>IF(OR(ISBLANK(MISUO[[#This Row],[تاريخ التسليم الفعلي]]), ISBLANK(MISUO[[#This Row],[تاريخ الطلب]])), "", MISUO[[#This Row],[تاريخ التسليم الفعلي]]-MISUO[[#This Row],[تاريخ الطلب]])</f>
        <v>12</v>
      </c>
      <c r="S33" s="4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33" s="4" t="str">
        <f>IF(MISUO[[#This Row],[الفرق بين الفعلي والمتوقع]]&gt;3,"سيئة",IF(MISUO[[#This Row],[الفرق بين الفعلي والمتوقع]]&gt;=0,"مقبولة","ممتازة"))</f>
        <v>سيئة</v>
      </c>
      <c r="U3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3" t="s">
        <v>143</v>
      </c>
      <c r="W3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3" t="s">
        <v>89</v>
      </c>
    </row>
    <row r="34" spans="1:24" ht="20.100000000000001" customHeight="1" x14ac:dyDescent="0.3">
      <c r="A34" t="s">
        <v>24</v>
      </c>
      <c r="B34" t="s">
        <v>148</v>
      </c>
      <c r="C34" t="s">
        <v>159</v>
      </c>
      <c r="D34" t="s">
        <v>152</v>
      </c>
      <c r="E34" t="s">
        <v>3</v>
      </c>
      <c r="F34">
        <v>1</v>
      </c>
      <c r="G34" t="s">
        <v>63</v>
      </c>
      <c r="H34" t="s">
        <v>181</v>
      </c>
      <c r="I34" t="s">
        <v>65</v>
      </c>
      <c r="J34">
        <v>80</v>
      </c>
      <c r="K34" t="s">
        <v>74</v>
      </c>
      <c r="L34">
        <v>7295</v>
      </c>
      <c r="M34" t="s">
        <v>192</v>
      </c>
      <c r="N34" s="2">
        <v>45540</v>
      </c>
      <c r="O34" s="2">
        <v>45549</v>
      </c>
      <c r="P34" s="2"/>
      <c r="Q3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3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3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34" s="2" t="str">
        <f>IF(MISUO[[#This Row],[الفرق بين الفعلي والمتوقع]]&gt;3,"سيئة",IF(MISUO[[#This Row],[الفرق بين الفعلي والمتوقع]]&gt;=0,"مقبولة","ممتازة"))</f>
        <v>سيئة</v>
      </c>
      <c r="U34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4" t="s">
        <v>87</v>
      </c>
      <c r="W3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4" t="s">
        <v>87</v>
      </c>
    </row>
    <row r="35" spans="1:24" ht="20.100000000000001" customHeight="1" x14ac:dyDescent="0.3">
      <c r="A35" t="s">
        <v>37</v>
      </c>
      <c r="B35" t="s">
        <v>148</v>
      </c>
      <c r="C35" t="s">
        <v>161</v>
      </c>
      <c r="D35" t="s">
        <v>158</v>
      </c>
      <c r="E35" t="s">
        <v>3</v>
      </c>
      <c r="F35">
        <v>1</v>
      </c>
      <c r="G35" t="s">
        <v>63</v>
      </c>
      <c r="H35" t="s">
        <v>181</v>
      </c>
      <c r="I35" t="s">
        <v>83</v>
      </c>
      <c r="J35">
        <v>140</v>
      </c>
      <c r="K35" t="s">
        <v>81</v>
      </c>
      <c r="L35">
        <v>9528</v>
      </c>
      <c r="M35" t="s">
        <v>6</v>
      </c>
      <c r="N35" s="2">
        <v>45548</v>
      </c>
      <c r="O35" s="2">
        <v>45561</v>
      </c>
      <c r="P35" s="2">
        <v>45568</v>
      </c>
      <c r="Q3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35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5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35" s="4" t="str">
        <f>IF(MISUO[[#This Row],[الفرق بين الفعلي والمتوقع]]&gt;3,"سيئة",IF(MISUO[[#This Row],[الفرق بين الفعلي والمتوقع]]&gt;=0,"مقبولة","ممتازة"))</f>
        <v>سيئة</v>
      </c>
      <c r="U3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5" t="s">
        <v>143</v>
      </c>
      <c r="W3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5" t="s">
        <v>89</v>
      </c>
    </row>
    <row r="36" spans="1:24" ht="20.100000000000001" customHeight="1" x14ac:dyDescent="0.3">
      <c r="A36" t="s">
        <v>60</v>
      </c>
      <c r="B36" t="s">
        <v>148</v>
      </c>
      <c r="C36" t="s">
        <v>159</v>
      </c>
      <c r="D36" t="s">
        <v>152</v>
      </c>
      <c r="E36" t="s">
        <v>3</v>
      </c>
      <c r="F36">
        <v>1</v>
      </c>
      <c r="G36" t="s">
        <v>63</v>
      </c>
      <c r="H36" t="s">
        <v>73</v>
      </c>
      <c r="I36" t="s">
        <v>68</v>
      </c>
      <c r="J36">
        <v>120</v>
      </c>
      <c r="K36" t="s">
        <v>183</v>
      </c>
      <c r="L36">
        <v>12999</v>
      </c>
      <c r="M36" t="s">
        <v>6</v>
      </c>
      <c r="N36" s="2">
        <v>45549</v>
      </c>
      <c r="O36" s="2">
        <v>45562</v>
      </c>
      <c r="P36" s="2">
        <v>45567</v>
      </c>
      <c r="Q3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36" s="4">
        <f>IF(OR(ISBLANK(MISUO[[#This Row],[تاريخ التسليم الفعلي]]), ISBLANK(MISUO[[#This Row],[تاريخ الطلب]])), "", MISUO[[#This Row],[تاريخ التسليم الفعلي]]-MISUO[[#This Row],[تاريخ الطلب]])</f>
        <v>18</v>
      </c>
      <c r="S36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36" s="4" t="str">
        <f>IF(MISUO[[#This Row],[الفرق بين الفعلي والمتوقع]]&gt;3,"سيئة",IF(MISUO[[#This Row],[الفرق بين الفعلي والمتوقع]]&gt;=0,"مقبولة","ممتازة"))</f>
        <v>سيئة</v>
      </c>
      <c r="U3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6" t="s">
        <v>143</v>
      </c>
      <c r="W3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6" t="s">
        <v>89</v>
      </c>
    </row>
    <row r="37" spans="1:24" ht="20.100000000000001" customHeight="1" x14ac:dyDescent="0.3">
      <c r="A37" t="s">
        <v>44</v>
      </c>
      <c r="B37" t="s">
        <v>148</v>
      </c>
      <c r="C37" t="s">
        <v>178</v>
      </c>
      <c r="D37" t="s">
        <v>45</v>
      </c>
      <c r="E37" t="s">
        <v>3</v>
      </c>
      <c r="F37">
        <v>1</v>
      </c>
      <c r="G37" t="s">
        <v>63</v>
      </c>
      <c r="H37" t="s">
        <v>73</v>
      </c>
      <c r="I37" t="s">
        <v>68</v>
      </c>
      <c r="J37">
        <v>120</v>
      </c>
      <c r="K37" t="s">
        <v>183</v>
      </c>
      <c r="L37">
        <v>12999</v>
      </c>
      <c r="M37" t="s">
        <v>6</v>
      </c>
      <c r="N37" s="2">
        <v>45549</v>
      </c>
      <c r="O37" s="2">
        <v>45616</v>
      </c>
      <c r="P37" s="2">
        <v>45582</v>
      </c>
      <c r="Q3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37" s="4">
        <f>IF(OR(ISBLANK(MISUO[[#This Row],[تاريخ التسليم الفعلي]]), ISBLANK(MISUO[[#This Row],[تاريخ الطلب]])), "", MISUO[[#This Row],[تاريخ التسليم الفعلي]]-MISUO[[#This Row],[تاريخ الطلب]])</f>
        <v>33</v>
      </c>
      <c r="S37" s="4">
        <f>IFERROR(IF(OR(ISBLANK(MISUO[[#This Row],[المدة الفعلية]]), ISBLANK(MISUO[[#This Row],[المدة المتوقعة]])), "", MISUO[[#This Row],[المدة الفعلية]]-MISUO[[#This Row],[المدة المتوقعة]]), "")</f>
        <v>-34</v>
      </c>
      <c r="T37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3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37" t="s">
        <v>202</v>
      </c>
      <c r="W37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7" t="s">
        <v>89</v>
      </c>
    </row>
    <row r="38" spans="1:24" ht="20.100000000000001" customHeight="1" x14ac:dyDescent="0.3">
      <c r="A38" t="s">
        <v>28</v>
      </c>
      <c r="B38" t="s">
        <v>148</v>
      </c>
      <c r="C38" t="s">
        <v>169</v>
      </c>
      <c r="D38" t="s">
        <v>152</v>
      </c>
      <c r="E38" t="s">
        <v>3</v>
      </c>
      <c r="F38">
        <v>2</v>
      </c>
      <c r="G38" t="s">
        <v>63</v>
      </c>
      <c r="H38" t="s">
        <v>73</v>
      </c>
      <c r="I38" t="s">
        <v>68</v>
      </c>
      <c r="J38">
        <v>100</v>
      </c>
      <c r="K38" t="s">
        <v>75</v>
      </c>
      <c r="L38">
        <v>11949</v>
      </c>
      <c r="M38" t="s">
        <v>192</v>
      </c>
      <c r="N38" s="2">
        <v>45547</v>
      </c>
      <c r="O38" s="2">
        <v>45564</v>
      </c>
      <c r="P38" s="2">
        <v>45567</v>
      </c>
      <c r="Q3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8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8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38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3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8" t="s">
        <v>143</v>
      </c>
      <c r="W3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8" t="s">
        <v>89</v>
      </c>
    </row>
    <row r="39" spans="1:24" ht="20.100000000000001" customHeight="1" x14ac:dyDescent="0.3">
      <c r="A39" t="s">
        <v>28</v>
      </c>
      <c r="B39" t="s">
        <v>148</v>
      </c>
      <c r="C39" t="s">
        <v>169</v>
      </c>
      <c r="D39" t="s">
        <v>152</v>
      </c>
      <c r="E39" t="s">
        <v>3</v>
      </c>
      <c r="F39">
        <v>2</v>
      </c>
      <c r="G39" t="s">
        <v>63</v>
      </c>
      <c r="H39" t="s">
        <v>73</v>
      </c>
      <c r="I39" t="s">
        <v>68</v>
      </c>
      <c r="J39">
        <v>100</v>
      </c>
      <c r="K39" t="s">
        <v>75</v>
      </c>
      <c r="L39">
        <v>11949</v>
      </c>
      <c r="M39" t="s">
        <v>192</v>
      </c>
      <c r="N39" s="2">
        <v>45547</v>
      </c>
      <c r="O39" s="2">
        <v>45564</v>
      </c>
      <c r="P39" s="2">
        <v>45567</v>
      </c>
      <c r="Q3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9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9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3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3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9" t="s">
        <v>143</v>
      </c>
      <c r="W3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9" t="s">
        <v>89</v>
      </c>
    </row>
    <row r="40" spans="1:24" ht="20.100000000000001" customHeight="1" x14ac:dyDescent="0.3">
      <c r="A40" t="s">
        <v>33</v>
      </c>
      <c r="B40" t="s">
        <v>148</v>
      </c>
      <c r="C40" t="s">
        <v>178</v>
      </c>
      <c r="D40" t="s">
        <v>157</v>
      </c>
      <c r="E40" t="s">
        <v>3</v>
      </c>
      <c r="F40">
        <v>1</v>
      </c>
      <c r="G40" t="s">
        <v>63</v>
      </c>
      <c r="H40" t="s">
        <v>73</v>
      </c>
      <c r="I40" t="s">
        <v>68</v>
      </c>
      <c r="J40">
        <v>80</v>
      </c>
      <c r="K40" t="s">
        <v>74</v>
      </c>
      <c r="L40">
        <v>10999</v>
      </c>
      <c r="M40" t="s">
        <v>6</v>
      </c>
      <c r="N40" s="2">
        <v>45548</v>
      </c>
      <c r="O40" s="2">
        <v>45565</v>
      </c>
      <c r="P40" s="2">
        <v>45581</v>
      </c>
      <c r="Q4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0" s="4">
        <f>IF(OR(ISBLANK(MISUO[[#This Row],[تاريخ التسليم الفعلي]]), ISBLANK(MISUO[[#This Row],[تاريخ الطلب]])), "", MISUO[[#This Row],[تاريخ التسليم الفعلي]]-MISUO[[#This Row],[تاريخ الطلب]])</f>
        <v>33</v>
      </c>
      <c r="S40" s="4">
        <f>IFERROR(IF(OR(ISBLANK(MISUO[[#This Row],[المدة الفعلية]]), ISBLANK(MISUO[[#This Row],[المدة المتوقعة]])), "", MISUO[[#This Row],[المدة الفعلية]]-MISUO[[#This Row],[المدة المتوقعة]]), "")</f>
        <v>16</v>
      </c>
      <c r="T40" s="4" t="str">
        <f>IF(MISUO[[#This Row],[الفرق بين الفعلي والمتوقع]]&gt;3,"سيئة",IF(MISUO[[#This Row],[الفرق بين الفعلي والمتوقع]]&gt;=0,"مقبولة","ممتازة"))</f>
        <v>سيئة</v>
      </c>
      <c r="U4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0" t="s">
        <v>202</v>
      </c>
      <c r="W4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0" t="s">
        <v>89</v>
      </c>
    </row>
    <row r="41" spans="1:24" ht="20.100000000000001" customHeight="1" x14ac:dyDescent="0.3">
      <c r="A41" t="s">
        <v>42</v>
      </c>
      <c r="B41" t="s">
        <v>148</v>
      </c>
      <c r="C41" t="s">
        <v>159</v>
      </c>
      <c r="D41" t="s">
        <v>152</v>
      </c>
      <c r="E41" t="s">
        <v>3</v>
      </c>
      <c r="F41">
        <v>1</v>
      </c>
      <c r="G41" t="s">
        <v>63</v>
      </c>
      <c r="H41" t="s">
        <v>73</v>
      </c>
      <c r="I41" t="s">
        <v>68</v>
      </c>
      <c r="J41">
        <v>80</v>
      </c>
      <c r="K41" t="s">
        <v>74</v>
      </c>
      <c r="L41">
        <v>10999</v>
      </c>
      <c r="M41" t="s">
        <v>6</v>
      </c>
      <c r="N41" s="2">
        <v>45548</v>
      </c>
      <c r="O41" s="2">
        <v>45565</v>
      </c>
      <c r="P41" s="2">
        <v>45580</v>
      </c>
      <c r="Q4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1" s="4">
        <f>IF(OR(ISBLANK(MISUO[[#This Row],[تاريخ التسليم الفعلي]]), ISBLANK(MISUO[[#This Row],[تاريخ الطلب]])), "", MISUO[[#This Row],[تاريخ التسليم الفعلي]]-MISUO[[#This Row],[تاريخ الطلب]])</f>
        <v>32</v>
      </c>
      <c r="S41" s="4">
        <f>IFERROR(IF(OR(ISBLANK(MISUO[[#This Row],[المدة الفعلية]]), ISBLANK(MISUO[[#This Row],[المدة المتوقعة]])), "", MISUO[[#This Row],[المدة الفعلية]]-MISUO[[#This Row],[المدة المتوقعة]]), "")</f>
        <v>15</v>
      </c>
      <c r="T41" s="4" t="str">
        <f>IF(MISUO[[#This Row],[الفرق بين الفعلي والمتوقع]]&gt;3,"سيئة",IF(MISUO[[#This Row],[الفرق بين الفعلي والمتوقع]]&gt;=0,"مقبولة","ممتازة"))</f>
        <v>سيئة</v>
      </c>
      <c r="U4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1" t="s">
        <v>143</v>
      </c>
      <c r="W4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1" t="s">
        <v>89</v>
      </c>
    </row>
    <row r="42" spans="1:24" ht="20.100000000000001" customHeight="1" x14ac:dyDescent="0.3">
      <c r="A42" t="s">
        <v>36</v>
      </c>
      <c r="B42" t="s">
        <v>148</v>
      </c>
      <c r="C42" t="s">
        <v>159</v>
      </c>
      <c r="D42" t="s">
        <v>152</v>
      </c>
      <c r="E42" t="s">
        <v>3</v>
      </c>
      <c r="F42">
        <v>1</v>
      </c>
      <c r="G42" t="s">
        <v>63</v>
      </c>
      <c r="H42" t="s">
        <v>73</v>
      </c>
      <c r="I42" t="s">
        <v>67</v>
      </c>
      <c r="J42">
        <v>120</v>
      </c>
      <c r="K42" t="s">
        <v>78</v>
      </c>
      <c r="L42">
        <v>13849</v>
      </c>
      <c r="M42" t="s">
        <v>6</v>
      </c>
      <c r="N42" s="2">
        <v>45548</v>
      </c>
      <c r="O42" s="2">
        <v>45565</v>
      </c>
      <c r="P42" s="2">
        <v>45585</v>
      </c>
      <c r="Q4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2" s="4">
        <f>IF(OR(ISBLANK(MISUO[[#This Row],[تاريخ التسليم الفعلي]]), ISBLANK(MISUO[[#This Row],[تاريخ الطلب]])), "", MISUO[[#This Row],[تاريخ التسليم الفعلي]]-MISUO[[#This Row],[تاريخ الطلب]])</f>
        <v>37</v>
      </c>
      <c r="S42" s="4">
        <f>IFERROR(IF(OR(ISBLANK(MISUO[[#This Row],[المدة الفعلية]]), ISBLANK(MISUO[[#This Row],[المدة المتوقعة]])), "", MISUO[[#This Row],[المدة الفعلية]]-MISUO[[#This Row],[المدة المتوقعة]]), "")</f>
        <v>20</v>
      </c>
      <c r="T42" s="4" t="str">
        <f>IF(MISUO[[#This Row],[الفرق بين الفعلي والمتوقع]]&gt;3,"سيئة",IF(MISUO[[#This Row],[الفرق بين الفعلي والمتوقع]]&gt;=0,"مقبولة","ممتازة"))</f>
        <v>سيئة</v>
      </c>
      <c r="U4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2" t="s">
        <v>143</v>
      </c>
      <c r="W4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2" t="s">
        <v>89</v>
      </c>
    </row>
    <row r="43" spans="1:24" ht="20.100000000000001" customHeight="1" x14ac:dyDescent="0.3">
      <c r="A43" t="s">
        <v>61</v>
      </c>
      <c r="B43" t="s">
        <v>148</v>
      </c>
      <c r="C43" t="s">
        <v>164</v>
      </c>
      <c r="D43" t="s">
        <v>95</v>
      </c>
      <c r="E43" t="s">
        <v>3</v>
      </c>
      <c r="F43">
        <v>1</v>
      </c>
      <c r="G43" t="s">
        <v>63</v>
      </c>
      <c r="H43" t="s">
        <v>64</v>
      </c>
      <c r="I43"/>
      <c r="J43"/>
      <c r="K43" t="s">
        <v>75</v>
      </c>
      <c r="L43">
        <v>9399</v>
      </c>
      <c r="M43" t="s">
        <v>6</v>
      </c>
      <c r="N43" s="2">
        <v>45549</v>
      </c>
      <c r="O43" s="2">
        <v>45557</v>
      </c>
      <c r="P43" s="2"/>
      <c r="Q4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4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4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3" s="2" t="str">
        <f>IF(MISUO[[#This Row],[الفرق بين الفعلي والمتوقع]]&gt;3,"سيئة",IF(MISUO[[#This Row],[الفرق بين الفعلي والمتوقع]]&gt;=0,"مقبولة","ممتازة"))</f>
        <v>سيئة</v>
      </c>
      <c r="U4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3" t="s">
        <v>13</v>
      </c>
      <c r="W4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3" t="s">
        <v>87</v>
      </c>
    </row>
    <row r="44" spans="1:24" ht="20.100000000000001" customHeight="1" x14ac:dyDescent="0.3">
      <c r="A44" t="s">
        <v>38</v>
      </c>
      <c r="B44" t="s">
        <v>148</v>
      </c>
      <c r="C44" t="s">
        <v>161</v>
      </c>
      <c r="D44" t="s">
        <v>158</v>
      </c>
      <c r="E44" t="s">
        <v>3</v>
      </c>
      <c r="F44">
        <v>1</v>
      </c>
      <c r="G44" t="s">
        <v>71</v>
      </c>
      <c r="H44" t="s">
        <v>63</v>
      </c>
      <c r="I44"/>
      <c r="J44"/>
      <c r="K44" t="s">
        <v>75</v>
      </c>
      <c r="L44">
        <v>21999</v>
      </c>
      <c r="M44" t="s">
        <v>6</v>
      </c>
      <c r="N44" s="2">
        <v>45548</v>
      </c>
      <c r="O44" s="2">
        <v>45565</v>
      </c>
      <c r="P44" s="2"/>
      <c r="Q4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4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4" s="4" t="str">
        <f>IF(MISUO[[#This Row],[الفرق بين الفعلي والمتوقع]]&gt;3,"سيئة",IF(MISUO[[#This Row],[الفرق بين الفعلي والمتوقع]]&gt;=0,"مقبولة","ممتازة"))</f>
        <v>سيئة</v>
      </c>
      <c r="U4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4" t="s">
        <v>143</v>
      </c>
      <c r="W4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4" t="s">
        <v>89</v>
      </c>
    </row>
    <row r="45" spans="1:24" ht="20.100000000000001" customHeight="1" x14ac:dyDescent="0.3">
      <c r="A45" t="s">
        <v>39</v>
      </c>
      <c r="B45" t="s">
        <v>148</v>
      </c>
      <c r="C45" t="s">
        <v>159</v>
      </c>
      <c r="D45" t="s">
        <v>152</v>
      </c>
      <c r="E45" t="s">
        <v>3</v>
      </c>
      <c r="F45">
        <v>1</v>
      </c>
      <c r="G45" t="s">
        <v>63</v>
      </c>
      <c r="H45" t="s">
        <v>64</v>
      </c>
      <c r="I45"/>
      <c r="J45"/>
      <c r="K45" t="s">
        <v>75</v>
      </c>
      <c r="L45">
        <v>9399</v>
      </c>
      <c r="M45" t="s">
        <v>6</v>
      </c>
      <c r="N45" s="2">
        <v>45548</v>
      </c>
      <c r="O45" s="2">
        <v>45559</v>
      </c>
      <c r="P45" s="2">
        <v>45565</v>
      </c>
      <c r="Q4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45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45" s="4">
        <f>IFERROR(IF(OR(ISBLANK(MISUO[[#This Row],[المدة الفعلية]]), ISBLANK(MISUO[[#This Row],[المدة المتوقعة]])), "", MISUO[[#This Row],[المدة الفعلية]]-MISUO[[#This Row],[المدة المتوقعة]]), "")</f>
        <v>6</v>
      </c>
      <c r="T45" s="4" t="str">
        <f>IF(MISUO[[#This Row],[الفرق بين الفعلي والمتوقع]]&gt;3,"سيئة",IF(MISUO[[#This Row],[الفرق بين الفعلي والمتوقع]]&gt;=0,"مقبولة","ممتازة"))</f>
        <v>سيئة</v>
      </c>
      <c r="U4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5" t="s">
        <v>202</v>
      </c>
      <c r="W4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5" t="s">
        <v>89</v>
      </c>
    </row>
    <row r="46" spans="1:24" ht="20.100000000000001" customHeight="1" x14ac:dyDescent="0.3">
      <c r="A46" t="s">
        <v>48</v>
      </c>
      <c r="B46" t="s">
        <v>148</v>
      </c>
      <c r="C46" t="s">
        <v>159</v>
      </c>
      <c r="D46" t="s">
        <v>152</v>
      </c>
      <c r="E46" t="s">
        <v>3</v>
      </c>
      <c r="F46">
        <v>1</v>
      </c>
      <c r="G46" t="s">
        <v>63</v>
      </c>
      <c r="H46" t="s">
        <v>64</v>
      </c>
      <c r="I46"/>
      <c r="J46"/>
      <c r="K46" t="s">
        <v>75</v>
      </c>
      <c r="L46">
        <v>9399</v>
      </c>
      <c r="M46" t="s">
        <v>6</v>
      </c>
      <c r="N46" s="2">
        <v>45549</v>
      </c>
      <c r="O46" s="2">
        <v>45594</v>
      </c>
      <c r="P46" s="2">
        <v>45580</v>
      </c>
      <c r="Q4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6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46" s="4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4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4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46" t="s">
        <v>143</v>
      </c>
      <c r="W4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6" t="s">
        <v>89</v>
      </c>
    </row>
    <row r="47" spans="1:24" ht="20.100000000000001" customHeight="1" x14ac:dyDescent="0.3">
      <c r="A47" t="s">
        <v>59</v>
      </c>
      <c r="B47" t="s">
        <v>148</v>
      </c>
      <c r="C47" t="s">
        <v>177</v>
      </c>
      <c r="D47" t="s">
        <v>152</v>
      </c>
      <c r="E47" t="s">
        <v>3</v>
      </c>
      <c r="F47">
        <v>1</v>
      </c>
      <c r="G47" t="s">
        <v>184</v>
      </c>
      <c r="H47" t="s">
        <v>185</v>
      </c>
      <c r="I47"/>
      <c r="J47"/>
      <c r="K47"/>
      <c r="L47">
        <v>8349</v>
      </c>
      <c r="M47" t="s">
        <v>6</v>
      </c>
      <c r="N47" s="2">
        <v>45549</v>
      </c>
      <c r="O47" s="2">
        <v>45581</v>
      </c>
      <c r="P47" s="2">
        <v>45586</v>
      </c>
      <c r="Q4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32</v>
      </c>
      <c r="R47" s="4">
        <f>IF(OR(ISBLANK(MISUO[[#This Row],[تاريخ التسليم الفعلي]]), ISBLANK(MISUO[[#This Row],[تاريخ الطلب]])), "", MISUO[[#This Row],[تاريخ التسليم الفعلي]]-MISUO[[#This Row],[تاريخ الطلب]])</f>
        <v>37</v>
      </c>
      <c r="S47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47" s="4" t="str">
        <f>IF(MISUO[[#This Row],[الفرق بين الفعلي والمتوقع]]&gt;3,"سيئة",IF(MISUO[[#This Row],[الفرق بين الفعلي والمتوقع]]&gt;=0,"مقبولة","ممتازة"))</f>
        <v>سيئة</v>
      </c>
      <c r="U4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7" t="s">
        <v>143</v>
      </c>
      <c r="W4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7" t="s">
        <v>89</v>
      </c>
    </row>
    <row r="48" spans="1:24" ht="20.100000000000001" customHeight="1" x14ac:dyDescent="0.3">
      <c r="A48" t="s">
        <v>47</v>
      </c>
      <c r="B48" t="s">
        <v>148</v>
      </c>
      <c r="C48" t="s">
        <v>23</v>
      </c>
      <c r="D48" t="s">
        <v>158</v>
      </c>
      <c r="E48" t="s">
        <v>3</v>
      </c>
      <c r="F48">
        <v>1</v>
      </c>
      <c r="G48" t="s">
        <v>184</v>
      </c>
      <c r="H48" t="s">
        <v>185</v>
      </c>
      <c r="I48"/>
      <c r="J48"/>
      <c r="K48"/>
      <c r="L48">
        <v>7849</v>
      </c>
      <c r="M48" t="s">
        <v>6</v>
      </c>
      <c r="N48" s="2">
        <v>45549</v>
      </c>
      <c r="O48" s="2">
        <v>45594</v>
      </c>
      <c r="P48" s="2">
        <v>45595</v>
      </c>
      <c r="Q4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8" s="4">
        <f>IF(OR(ISBLANK(MISUO[[#This Row],[تاريخ التسليم الفعلي]]), ISBLANK(MISUO[[#This Row],[تاريخ الطلب]])), "", MISUO[[#This Row],[تاريخ التسليم الفعلي]]-MISUO[[#This Row],[تاريخ الطلب]])</f>
        <v>46</v>
      </c>
      <c r="S48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48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4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8" t="s">
        <v>143</v>
      </c>
      <c r="W4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8" t="s">
        <v>89</v>
      </c>
    </row>
    <row r="49" spans="1:24" ht="20.100000000000001" customHeight="1" x14ac:dyDescent="0.3">
      <c r="A49" t="s">
        <v>7</v>
      </c>
      <c r="B49" t="s">
        <v>148</v>
      </c>
      <c r="C49" t="s">
        <v>154</v>
      </c>
      <c r="D49" t="s">
        <v>166</v>
      </c>
      <c r="E49" t="s">
        <v>3</v>
      </c>
      <c r="F49">
        <v>1</v>
      </c>
      <c r="G49" t="s">
        <v>63</v>
      </c>
      <c r="H49" t="s">
        <v>64</v>
      </c>
      <c r="I49"/>
      <c r="J49"/>
      <c r="K49" t="s">
        <v>75</v>
      </c>
      <c r="L49">
        <v>10160</v>
      </c>
      <c r="M49" t="s">
        <v>192</v>
      </c>
      <c r="N49" s="2">
        <v>45501</v>
      </c>
      <c r="O49" s="2"/>
      <c r="P49" s="2">
        <v>45515</v>
      </c>
      <c r="Q49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49" s="4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49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9" s="4" t="str">
        <f>IF(MISUO[[#This Row],[الفرق بين الفعلي والمتوقع]]&gt;3,"سيئة",IF(MISUO[[#This Row],[الفرق بين الفعلي والمتوقع]]&gt;=0,"مقبولة","ممتازة"))</f>
        <v>سيئة</v>
      </c>
      <c r="U4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9" t="s">
        <v>202</v>
      </c>
      <c r="W4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9" t="s">
        <v>89</v>
      </c>
    </row>
    <row r="50" spans="1:24" ht="20.100000000000001" customHeight="1" x14ac:dyDescent="0.3">
      <c r="A50" t="s">
        <v>5</v>
      </c>
      <c r="B50" t="s">
        <v>148</v>
      </c>
      <c r="C50" t="s">
        <v>153</v>
      </c>
      <c r="D50" t="s">
        <v>152</v>
      </c>
      <c r="E50" t="s">
        <v>3</v>
      </c>
      <c r="F50">
        <v>1</v>
      </c>
      <c r="G50" t="s">
        <v>63</v>
      </c>
      <c r="H50" t="s">
        <v>64</v>
      </c>
      <c r="I50"/>
      <c r="J50"/>
      <c r="K50" t="s">
        <v>74</v>
      </c>
      <c r="L50">
        <v>10160</v>
      </c>
      <c r="M50" t="s">
        <v>6</v>
      </c>
      <c r="N50" s="2">
        <v>45500</v>
      </c>
      <c r="O50" s="2"/>
      <c r="P50" s="2">
        <v>45514</v>
      </c>
      <c r="Q50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50" s="4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50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0" s="4" t="str">
        <f>IF(MISUO[[#This Row],[الفرق بين الفعلي والمتوقع]]&gt;3,"سيئة",IF(MISUO[[#This Row],[الفرق بين الفعلي والمتوقع]]&gt;=0,"مقبولة","ممتازة"))</f>
        <v>سيئة</v>
      </c>
      <c r="U5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0" t="s">
        <v>202</v>
      </c>
      <c r="W5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0" t="s">
        <v>89</v>
      </c>
    </row>
    <row r="51" spans="1:24" ht="20.100000000000001" customHeight="1" x14ac:dyDescent="0.3">
      <c r="A51" t="s">
        <v>50</v>
      </c>
      <c r="B51" t="s">
        <v>149</v>
      </c>
      <c r="C51" t="s">
        <v>32</v>
      </c>
      <c r="D51" t="s">
        <v>158</v>
      </c>
      <c r="E51" t="s">
        <v>3</v>
      </c>
      <c r="F51">
        <v>1</v>
      </c>
      <c r="G51" t="s">
        <v>184</v>
      </c>
      <c r="H51" t="s">
        <v>185</v>
      </c>
      <c r="I51"/>
      <c r="J51"/>
      <c r="K51"/>
      <c r="L51">
        <v>8349</v>
      </c>
      <c r="M51" t="s">
        <v>6</v>
      </c>
      <c r="N51" s="2">
        <v>45549</v>
      </c>
      <c r="O51" s="2">
        <v>45594</v>
      </c>
      <c r="P51" s="2">
        <v>45584</v>
      </c>
      <c r="Q5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1" s="4">
        <f>IF(OR(ISBLANK(MISUO[[#This Row],[تاريخ التسليم الفعلي]]), ISBLANK(MISUO[[#This Row],[تاريخ الطلب]])), "", MISUO[[#This Row],[تاريخ التسليم الفعلي]]-MISUO[[#This Row],[تاريخ الطلب]])</f>
        <v>35</v>
      </c>
      <c r="S51" s="4">
        <f>IFERROR(IF(OR(ISBLANK(MISUO[[#This Row],[المدة الفعلية]]), ISBLANK(MISUO[[#This Row],[المدة المتوقعة]])), "", MISUO[[#This Row],[المدة الفعلية]]-MISUO[[#This Row],[المدة المتوقعة]]), "")</f>
        <v>-10</v>
      </c>
      <c r="T5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1" t="s">
        <v>143</v>
      </c>
      <c r="W5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1" t="s">
        <v>89</v>
      </c>
    </row>
    <row r="52" spans="1:24" ht="20.100000000000001" customHeight="1" x14ac:dyDescent="0.3">
      <c r="A52" t="s">
        <v>52</v>
      </c>
      <c r="B52" t="s">
        <v>148</v>
      </c>
      <c r="C52" t="s">
        <v>53</v>
      </c>
      <c r="D52" t="s">
        <v>158</v>
      </c>
      <c r="E52" t="s">
        <v>3</v>
      </c>
      <c r="F52">
        <v>2</v>
      </c>
      <c r="G52" t="s">
        <v>63</v>
      </c>
      <c r="H52" t="s">
        <v>66</v>
      </c>
      <c r="I52" t="s">
        <v>82</v>
      </c>
      <c r="J52">
        <v>120</v>
      </c>
      <c r="K52" t="s">
        <v>74</v>
      </c>
      <c r="L52">
        <v>17886</v>
      </c>
      <c r="M52" t="s">
        <v>6</v>
      </c>
      <c r="N52" s="2">
        <v>45549</v>
      </c>
      <c r="O52" s="2">
        <v>45594</v>
      </c>
      <c r="P52" s="2"/>
      <c r="Q5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2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2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2" s="2" t="str">
        <f>IF(MISUO[[#This Row],[الفرق بين الفعلي والمتوقع]]&gt;3,"سيئة",IF(MISUO[[#This Row],[الفرق بين الفعلي والمتوقع]]&gt;=0,"مقبولة","ممتازة"))</f>
        <v>سيئة</v>
      </c>
      <c r="U52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2" t="s">
        <v>87</v>
      </c>
      <c r="W5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2" t="s">
        <v>87</v>
      </c>
    </row>
    <row r="53" spans="1:24" ht="20.100000000000001" customHeight="1" x14ac:dyDescent="0.3">
      <c r="A53" t="s">
        <v>52</v>
      </c>
      <c r="B53" t="s">
        <v>148</v>
      </c>
      <c r="C53" t="s">
        <v>53</v>
      </c>
      <c r="D53" t="s">
        <v>158</v>
      </c>
      <c r="E53" t="s">
        <v>3</v>
      </c>
      <c r="F53">
        <v>2</v>
      </c>
      <c r="G53" t="s">
        <v>63</v>
      </c>
      <c r="H53" t="s">
        <v>66</v>
      </c>
      <c r="I53" t="s">
        <v>82</v>
      </c>
      <c r="J53">
        <v>120</v>
      </c>
      <c r="K53" t="s">
        <v>74</v>
      </c>
      <c r="L53">
        <v>17886</v>
      </c>
      <c r="M53" t="s">
        <v>6</v>
      </c>
      <c r="N53" s="2">
        <v>45549</v>
      </c>
      <c r="O53" s="2">
        <v>45594</v>
      </c>
      <c r="P53" s="2"/>
      <c r="Q5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3" s="2" t="str">
        <f>IF(MISUO[[#This Row],[الفرق بين الفعلي والمتوقع]]&gt;3,"سيئة",IF(MISUO[[#This Row],[الفرق بين الفعلي والمتوقع]]&gt;=0,"مقبولة","ممتازة"))</f>
        <v>سيئة</v>
      </c>
      <c r="U5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3" t="s">
        <v>87</v>
      </c>
      <c r="W5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3" t="s">
        <v>87</v>
      </c>
    </row>
    <row r="54" spans="1:24" ht="20.100000000000001" customHeight="1" x14ac:dyDescent="0.3">
      <c r="A54" t="s">
        <v>54</v>
      </c>
      <c r="B54" t="s">
        <v>148</v>
      </c>
      <c r="C54" t="s">
        <v>161</v>
      </c>
      <c r="D54" t="s">
        <v>158</v>
      </c>
      <c r="E54" t="s">
        <v>3</v>
      </c>
      <c r="F54">
        <v>2</v>
      </c>
      <c r="G54" t="s">
        <v>63</v>
      </c>
      <c r="H54" t="s">
        <v>181</v>
      </c>
      <c r="I54" t="s">
        <v>182</v>
      </c>
      <c r="J54">
        <v>120</v>
      </c>
      <c r="K54" t="s">
        <v>74</v>
      </c>
      <c r="L54">
        <v>10987</v>
      </c>
      <c r="M54" t="s">
        <v>6</v>
      </c>
      <c r="N54" s="2">
        <v>45549</v>
      </c>
      <c r="O54" s="2">
        <v>45594</v>
      </c>
      <c r="P54" s="2">
        <v>45578</v>
      </c>
      <c r="Q5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4" s="4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54" s="4">
        <f>IFERROR(IF(OR(ISBLANK(MISUO[[#This Row],[المدة الفعلية]]), ISBLANK(MISUO[[#This Row],[المدة المتوقعة]])), "", MISUO[[#This Row],[المدة الفعلية]]-MISUO[[#This Row],[المدة المتوقعة]]), "")</f>
        <v>-16</v>
      </c>
      <c r="T5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4" t="s">
        <v>143</v>
      </c>
      <c r="W5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4" t="s">
        <v>89</v>
      </c>
    </row>
    <row r="55" spans="1:24" ht="20.100000000000001" customHeight="1" x14ac:dyDescent="0.3">
      <c r="A55" t="s">
        <v>54</v>
      </c>
      <c r="B55" t="s">
        <v>148</v>
      </c>
      <c r="C55" t="s">
        <v>161</v>
      </c>
      <c r="D55" t="s">
        <v>158</v>
      </c>
      <c r="E55" t="s">
        <v>3</v>
      </c>
      <c r="F55">
        <v>2</v>
      </c>
      <c r="G55" t="s">
        <v>63</v>
      </c>
      <c r="H55" t="s">
        <v>181</v>
      </c>
      <c r="I55" t="s">
        <v>182</v>
      </c>
      <c r="J55">
        <v>120</v>
      </c>
      <c r="K55" t="s">
        <v>74</v>
      </c>
      <c r="L55">
        <v>10987</v>
      </c>
      <c r="M55" t="s">
        <v>6</v>
      </c>
      <c r="N55" s="2">
        <v>45549</v>
      </c>
      <c r="O55" s="2">
        <v>45594</v>
      </c>
      <c r="P55" s="2">
        <v>45578</v>
      </c>
      <c r="Q5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5" s="4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55" s="4">
        <f>IFERROR(IF(OR(ISBLANK(MISUO[[#This Row],[المدة الفعلية]]), ISBLANK(MISUO[[#This Row],[المدة المتوقعة]])), "", MISUO[[#This Row],[المدة الفعلية]]-MISUO[[#This Row],[المدة المتوقعة]]), "")</f>
        <v>-16</v>
      </c>
      <c r="T55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5" t="s">
        <v>143</v>
      </c>
      <c r="W5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5" t="s">
        <v>89</v>
      </c>
    </row>
    <row r="56" spans="1:24" ht="20.100000000000001" customHeight="1" x14ac:dyDescent="0.3">
      <c r="A56" t="s">
        <v>56</v>
      </c>
      <c r="B56" t="s">
        <v>148</v>
      </c>
      <c r="C56" t="s">
        <v>57</v>
      </c>
      <c r="D56" t="s">
        <v>163</v>
      </c>
      <c r="E56" t="s">
        <v>3</v>
      </c>
      <c r="F56">
        <v>1</v>
      </c>
      <c r="G56" t="s">
        <v>184</v>
      </c>
      <c r="H56" t="s">
        <v>185</v>
      </c>
      <c r="I56"/>
      <c r="J56"/>
      <c r="K56"/>
      <c r="L56">
        <v>10319</v>
      </c>
      <c r="M56" t="s">
        <v>6</v>
      </c>
      <c r="N56" s="2">
        <v>45549</v>
      </c>
      <c r="O56" s="2">
        <v>45594</v>
      </c>
      <c r="P56" s="2">
        <v>45584</v>
      </c>
      <c r="Q5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6" s="4">
        <f>IF(OR(ISBLANK(MISUO[[#This Row],[تاريخ التسليم الفعلي]]), ISBLANK(MISUO[[#This Row],[تاريخ الطلب]])), "", MISUO[[#This Row],[تاريخ التسليم الفعلي]]-MISUO[[#This Row],[تاريخ الطلب]])</f>
        <v>35</v>
      </c>
      <c r="S56" s="4">
        <f>IFERROR(IF(OR(ISBLANK(MISUO[[#This Row],[المدة الفعلية]]), ISBLANK(MISUO[[#This Row],[المدة المتوقعة]])), "", MISUO[[#This Row],[المدة الفعلية]]-MISUO[[#This Row],[المدة المتوقعة]]), "")</f>
        <v>-10</v>
      </c>
      <c r="T5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6" t="s">
        <v>143</v>
      </c>
      <c r="W5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6" t="s">
        <v>89</v>
      </c>
    </row>
    <row r="57" spans="1:24" ht="20.100000000000001" customHeight="1" x14ac:dyDescent="0.3">
      <c r="A57" t="s">
        <v>27</v>
      </c>
      <c r="B57" t="s">
        <v>148</v>
      </c>
      <c r="C57" t="s">
        <v>32</v>
      </c>
      <c r="D57" t="s">
        <v>158</v>
      </c>
      <c r="E57" t="s">
        <v>3</v>
      </c>
      <c r="F57">
        <v>1</v>
      </c>
      <c r="G57" t="s">
        <v>63</v>
      </c>
      <c r="H57" t="s">
        <v>73</v>
      </c>
      <c r="I57" t="s">
        <v>65</v>
      </c>
      <c r="J57">
        <v>90</v>
      </c>
      <c r="K57" t="s">
        <v>75</v>
      </c>
      <c r="L57">
        <v>5999</v>
      </c>
      <c r="M57" t="s">
        <v>6</v>
      </c>
      <c r="N57" s="2">
        <v>45547</v>
      </c>
      <c r="O57" s="2">
        <v>45564</v>
      </c>
      <c r="P57" s="2"/>
      <c r="Q5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57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7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7" s="4" t="str">
        <f>IF(MISUO[[#This Row],[الفرق بين الفعلي والمتوقع]]&gt;3,"سيئة",IF(MISUO[[#This Row],[الفرق بين الفعلي والمتوقع]]&gt;=0,"مقبولة","ممتازة"))</f>
        <v>سيئة</v>
      </c>
      <c r="U5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7" t="s">
        <v>145</v>
      </c>
      <c r="W57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57" t="s">
        <v>89</v>
      </c>
    </row>
    <row r="58" spans="1:24" ht="20.100000000000001" customHeight="1" x14ac:dyDescent="0.3">
      <c r="A58" t="s">
        <v>46</v>
      </c>
      <c r="B58" t="s">
        <v>148</v>
      </c>
      <c r="C58" t="s">
        <v>178</v>
      </c>
      <c r="D58" t="s">
        <v>157</v>
      </c>
      <c r="E58" t="s">
        <v>3</v>
      </c>
      <c r="F58">
        <v>1</v>
      </c>
      <c r="G58" t="s">
        <v>71</v>
      </c>
      <c r="H58" t="s">
        <v>63</v>
      </c>
      <c r="I58"/>
      <c r="J58"/>
      <c r="K58" t="s">
        <v>75</v>
      </c>
      <c r="L58">
        <v>21999</v>
      </c>
      <c r="M58" t="s">
        <v>6</v>
      </c>
      <c r="N58" s="2">
        <v>45549</v>
      </c>
      <c r="O58" s="2">
        <v>45616</v>
      </c>
      <c r="P58" s="2"/>
      <c r="Q5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58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8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8" s="2" t="str">
        <f>IF(MISUO[[#This Row],[الفرق بين الفعلي والمتوقع]]&gt;3,"سيئة",IF(MISUO[[#This Row],[الفرق بين الفعلي والمتوقع]]&gt;=0,"مقبولة","ممتازة"))</f>
        <v>سيئة</v>
      </c>
      <c r="U58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8" t="s">
        <v>87</v>
      </c>
      <c r="W5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8" t="s">
        <v>87</v>
      </c>
    </row>
    <row r="59" spans="1:24" ht="20.100000000000001" customHeight="1" x14ac:dyDescent="0.3">
      <c r="A59" t="s">
        <v>51</v>
      </c>
      <c r="B59" t="s">
        <v>148</v>
      </c>
      <c r="C59" t="s">
        <v>32</v>
      </c>
      <c r="D59" t="s">
        <v>158</v>
      </c>
      <c r="E59" t="s">
        <v>3</v>
      </c>
      <c r="F59">
        <v>1</v>
      </c>
      <c r="G59" t="s">
        <v>63</v>
      </c>
      <c r="H59" t="s">
        <v>73</v>
      </c>
      <c r="I59" t="s">
        <v>65</v>
      </c>
      <c r="J59">
        <v>100</v>
      </c>
      <c r="K59" t="s">
        <v>183</v>
      </c>
      <c r="L59">
        <v>12399</v>
      </c>
      <c r="M59" t="s">
        <v>6</v>
      </c>
      <c r="N59" s="2">
        <v>45549</v>
      </c>
      <c r="O59" s="2">
        <v>45616</v>
      </c>
      <c r="P59" s="2">
        <v>45566</v>
      </c>
      <c r="Q5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59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59" s="4">
        <f>IFERROR(IF(OR(ISBLANK(MISUO[[#This Row],[المدة الفعلية]]), ISBLANK(MISUO[[#This Row],[المدة المتوقعة]])), "", MISUO[[#This Row],[المدة الفعلية]]-MISUO[[#This Row],[المدة المتوقعة]]), "")</f>
        <v>-50</v>
      </c>
      <c r="T5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9" t="s">
        <v>202</v>
      </c>
      <c r="W5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9" t="s">
        <v>89</v>
      </c>
    </row>
    <row r="60" spans="1:24" ht="20.100000000000001" customHeight="1" x14ac:dyDescent="0.3">
      <c r="A60" t="s">
        <v>55</v>
      </c>
      <c r="B60" t="s">
        <v>148</v>
      </c>
      <c r="C60" t="s">
        <v>161</v>
      </c>
      <c r="D60" t="s">
        <v>158</v>
      </c>
      <c r="E60" t="s">
        <v>3</v>
      </c>
      <c r="F60">
        <v>1</v>
      </c>
      <c r="G60" t="s">
        <v>71</v>
      </c>
      <c r="H60" t="s">
        <v>63</v>
      </c>
      <c r="I60"/>
      <c r="J60"/>
      <c r="K60" t="s">
        <v>75</v>
      </c>
      <c r="L60">
        <v>21999</v>
      </c>
      <c r="M60" t="s">
        <v>6</v>
      </c>
      <c r="N60" s="2">
        <v>45549</v>
      </c>
      <c r="O60" s="2">
        <v>45616</v>
      </c>
      <c r="P60" s="2">
        <v>45574</v>
      </c>
      <c r="Q6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60" s="4">
        <f>IF(OR(ISBLANK(MISUO[[#This Row],[تاريخ التسليم الفعلي]]), ISBLANK(MISUO[[#This Row],[تاريخ الطلب]])), "", MISUO[[#This Row],[تاريخ التسليم الفعلي]]-MISUO[[#This Row],[تاريخ الطلب]])</f>
        <v>25</v>
      </c>
      <c r="S60" s="4">
        <f>IFERROR(IF(OR(ISBLANK(MISUO[[#This Row],[المدة الفعلية]]), ISBLANK(MISUO[[#This Row],[المدة المتوقعة]])), "", MISUO[[#This Row],[المدة الفعلية]]-MISUO[[#This Row],[المدة المتوقعة]]), "")</f>
        <v>-42</v>
      </c>
      <c r="T6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0" t="s">
        <v>143</v>
      </c>
      <c r="W6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0" t="s">
        <v>89</v>
      </c>
    </row>
    <row r="61" spans="1:24" ht="20.100000000000001" customHeight="1" x14ac:dyDescent="0.3">
      <c r="A61" t="s">
        <v>58</v>
      </c>
      <c r="B61" t="s">
        <v>148</v>
      </c>
      <c r="C61" t="s">
        <v>23</v>
      </c>
      <c r="D61" t="s">
        <v>158</v>
      </c>
      <c r="E61" t="s">
        <v>3</v>
      </c>
      <c r="F61">
        <v>1</v>
      </c>
      <c r="G61" t="s">
        <v>63</v>
      </c>
      <c r="H61" t="s">
        <v>73</v>
      </c>
      <c r="I61" t="s">
        <v>65</v>
      </c>
      <c r="J61">
        <v>80</v>
      </c>
      <c r="K61" t="s">
        <v>74</v>
      </c>
      <c r="L61">
        <v>10999</v>
      </c>
      <c r="M61" t="s">
        <v>6</v>
      </c>
      <c r="N61" s="2">
        <v>45549</v>
      </c>
      <c r="O61" s="2">
        <v>45616</v>
      </c>
      <c r="P61" s="2">
        <v>45581</v>
      </c>
      <c r="Q6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61" s="4">
        <f>IF(OR(ISBLANK(MISUO[[#This Row],[تاريخ التسليم الفعلي]]), ISBLANK(MISUO[[#This Row],[تاريخ الطلب]])), "", MISUO[[#This Row],[تاريخ التسليم الفعلي]]-MISUO[[#This Row],[تاريخ الطلب]])</f>
        <v>32</v>
      </c>
      <c r="S61" s="4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1" t="s">
        <v>143</v>
      </c>
      <c r="W6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1" t="s">
        <v>89</v>
      </c>
    </row>
    <row r="62" spans="1:24" ht="20.100000000000001" customHeight="1" x14ac:dyDescent="0.3">
      <c r="A62" t="s">
        <v>84</v>
      </c>
      <c r="B62" t="s">
        <v>148</v>
      </c>
      <c r="C62" t="s">
        <v>41</v>
      </c>
      <c r="D62" t="s">
        <v>158</v>
      </c>
      <c r="E62" t="s">
        <v>3</v>
      </c>
      <c r="F62">
        <v>1</v>
      </c>
      <c r="G62" t="s">
        <v>63</v>
      </c>
      <c r="H62" t="s">
        <v>73</v>
      </c>
      <c r="I62" t="s">
        <v>68</v>
      </c>
      <c r="J62">
        <v>80</v>
      </c>
      <c r="K62" t="s">
        <v>74</v>
      </c>
      <c r="L62">
        <v>10999</v>
      </c>
      <c r="M62" t="s">
        <v>6</v>
      </c>
      <c r="N62" s="2">
        <v>45550</v>
      </c>
      <c r="O62" s="2">
        <v>45616</v>
      </c>
      <c r="P62" s="2">
        <v>45581</v>
      </c>
      <c r="Q6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2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62" s="4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2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2" t="s">
        <v>143</v>
      </c>
      <c r="W6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2" t="s">
        <v>89</v>
      </c>
    </row>
    <row r="63" spans="1:24" ht="20.100000000000001" customHeight="1" x14ac:dyDescent="0.3">
      <c r="A63" t="s">
        <v>84</v>
      </c>
      <c r="B63" t="s">
        <v>148</v>
      </c>
      <c r="C63" t="s">
        <v>41</v>
      </c>
      <c r="D63" t="s">
        <v>158</v>
      </c>
      <c r="E63" t="s">
        <v>3</v>
      </c>
      <c r="F63">
        <v>1</v>
      </c>
      <c r="G63" t="s">
        <v>63</v>
      </c>
      <c r="H63" t="s">
        <v>73</v>
      </c>
      <c r="I63" t="s">
        <v>68</v>
      </c>
      <c r="J63">
        <v>80</v>
      </c>
      <c r="K63" t="s">
        <v>74</v>
      </c>
      <c r="L63">
        <v>10999</v>
      </c>
      <c r="M63" t="s">
        <v>6</v>
      </c>
      <c r="N63" s="2">
        <v>45550</v>
      </c>
      <c r="O63" s="2">
        <v>45616</v>
      </c>
      <c r="P63" s="2">
        <v>45581</v>
      </c>
      <c r="Q6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3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63" s="4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3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3" t="s">
        <v>143</v>
      </c>
      <c r="W6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3" t="s">
        <v>89</v>
      </c>
    </row>
    <row r="64" spans="1:24" ht="20.100000000000001" customHeight="1" x14ac:dyDescent="0.3">
      <c r="A64" t="s">
        <v>85</v>
      </c>
      <c r="B64" t="s">
        <v>148</v>
      </c>
      <c r="C64" t="s">
        <v>170</v>
      </c>
      <c r="D64" t="s">
        <v>158</v>
      </c>
      <c r="E64" t="s">
        <v>3</v>
      </c>
      <c r="F64">
        <v>1</v>
      </c>
      <c r="G64" t="s">
        <v>71</v>
      </c>
      <c r="H64" t="s">
        <v>72</v>
      </c>
      <c r="I64"/>
      <c r="J64"/>
      <c r="K64" t="s">
        <v>75</v>
      </c>
      <c r="L64">
        <v>21999</v>
      </c>
      <c r="M64" t="s">
        <v>6</v>
      </c>
      <c r="N64" s="2">
        <v>45550</v>
      </c>
      <c r="O64" s="2">
        <v>45616</v>
      </c>
      <c r="P64" s="2">
        <v>45584</v>
      </c>
      <c r="Q6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4" s="4">
        <f>IF(OR(ISBLANK(MISUO[[#This Row],[تاريخ التسليم الفعلي]]), ISBLANK(MISUO[[#This Row],[تاريخ الطلب]])), "", MISUO[[#This Row],[تاريخ التسليم الفعلي]]-MISUO[[#This Row],[تاريخ الطلب]])</f>
        <v>34</v>
      </c>
      <c r="S64" s="4">
        <f>IFERROR(IF(OR(ISBLANK(MISUO[[#This Row],[المدة الفعلية]]), ISBLANK(MISUO[[#This Row],[المدة المتوقعة]])), "", MISUO[[#This Row],[المدة الفعلية]]-MISUO[[#This Row],[المدة المتوقعة]]), "")</f>
        <v>-32</v>
      </c>
      <c r="T6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4" t="s">
        <v>143</v>
      </c>
      <c r="W6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4" t="s">
        <v>89</v>
      </c>
    </row>
    <row r="65" spans="1:24" ht="20.100000000000001" customHeight="1" x14ac:dyDescent="0.3">
      <c r="A65" t="s">
        <v>88</v>
      </c>
      <c r="B65" t="s">
        <v>148</v>
      </c>
      <c r="C65" t="s">
        <v>164</v>
      </c>
      <c r="D65" t="s">
        <v>95</v>
      </c>
      <c r="E65" t="s">
        <v>3</v>
      </c>
      <c r="F65">
        <v>1</v>
      </c>
      <c r="G65" t="s">
        <v>184</v>
      </c>
      <c r="H65" t="s">
        <v>73</v>
      </c>
      <c r="I65"/>
      <c r="J65"/>
      <c r="K65"/>
      <c r="L65">
        <v>7849</v>
      </c>
      <c r="M65" t="s">
        <v>192</v>
      </c>
      <c r="N65" s="2">
        <v>45551</v>
      </c>
      <c r="O65" s="2">
        <v>45595</v>
      </c>
      <c r="P65" s="2">
        <v>45610</v>
      </c>
      <c r="Q6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44</v>
      </c>
      <c r="R65" s="4">
        <f>IF(OR(ISBLANK(MISUO[[#This Row],[تاريخ التسليم الفعلي]]), ISBLANK(MISUO[[#This Row],[تاريخ الطلب]])), "", MISUO[[#This Row],[تاريخ التسليم الفعلي]]-MISUO[[#This Row],[تاريخ الطلب]])</f>
        <v>59</v>
      </c>
      <c r="S65" s="4">
        <f>IFERROR(IF(OR(ISBLANK(MISUO[[#This Row],[المدة الفعلية]]), ISBLANK(MISUO[[#This Row],[المدة المتوقعة]])), "", MISUO[[#This Row],[المدة الفعلية]]-MISUO[[#This Row],[المدة المتوقعة]]), "")</f>
        <v>15</v>
      </c>
      <c r="T65" s="4" t="str">
        <f>IF(MISUO[[#This Row],[الفرق بين الفعلي والمتوقع]]&gt;3,"سيئة",IF(MISUO[[#This Row],[الفرق بين الفعلي والمتوقع]]&gt;=0,"مقبولة","ممتازة"))</f>
        <v>سيئة</v>
      </c>
      <c r="U6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5" t="s">
        <v>202</v>
      </c>
      <c r="W6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65" t="s">
        <v>89</v>
      </c>
    </row>
    <row r="66" spans="1:24" ht="20.100000000000001" customHeight="1" x14ac:dyDescent="0.3">
      <c r="A66" t="s">
        <v>30</v>
      </c>
      <c r="B66" t="s">
        <v>149</v>
      </c>
      <c r="C66" t="s">
        <v>179</v>
      </c>
      <c r="D66" t="s">
        <v>152</v>
      </c>
      <c r="E66" t="s">
        <v>146</v>
      </c>
      <c r="F66">
        <v>1</v>
      </c>
      <c r="G66" t="s">
        <v>63</v>
      </c>
      <c r="H66" t="s">
        <v>73</v>
      </c>
      <c r="I66" t="s">
        <v>68</v>
      </c>
      <c r="J66">
        <v>80</v>
      </c>
      <c r="K66" t="s">
        <v>74</v>
      </c>
      <c r="L66">
        <v>5074</v>
      </c>
      <c r="M66" t="s">
        <v>31</v>
      </c>
      <c r="N66" s="2">
        <v>45556</v>
      </c>
      <c r="O66" s="2">
        <v>45570</v>
      </c>
      <c r="P66" s="2">
        <v>45577</v>
      </c>
      <c r="Q6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66" s="4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66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66" s="4" t="str">
        <f>IF(MISUO[[#This Row],[الفرق بين الفعلي والمتوقع]]&gt;3,"سيئة",IF(MISUO[[#This Row],[الفرق بين الفعلي والمتوقع]]&gt;=0,"مقبولة","ممتازة"))</f>
        <v>سيئة</v>
      </c>
      <c r="U6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6" t="s">
        <v>143</v>
      </c>
      <c r="W6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6" t="s">
        <v>89</v>
      </c>
    </row>
    <row r="67" spans="1:24" ht="20.100000000000001" customHeight="1" x14ac:dyDescent="0.3">
      <c r="A67" t="s">
        <v>15</v>
      </c>
      <c r="B67" t="s">
        <v>149</v>
      </c>
      <c r="C67" t="s">
        <v>160</v>
      </c>
      <c r="D67" t="s">
        <v>158</v>
      </c>
      <c r="E67" t="s">
        <v>16</v>
      </c>
      <c r="F67">
        <v>1</v>
      </c>
      <c r="G67" t="s">
        <v>63</v>
      </c>
      <c r="H67" t="s">
        <v>73</v>
      </c>
      <c r="I67" t="s">
        <v>67</v>
      </c>
      <c r="J67">
        <v>100</v>
      </c>
      <c r="K67" t="s">
        <v>90</v>
      </c>
      <c r="L67">
        <v>6250</v>
      </c>
      <c r="M67" t="s">
        <v>31</v>
      </c>
      <c r="N67" s="2">
        <v>45558</v>
      </c>
      <c r="O67" s="2">
        <v>45573</v>
      </c>
      <c r="P67" s="2">
        <v>45582</v>
      </c>
      <c r="Q6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67" s="4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67" s="4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67" s="4" t="str">
        <f>IF(MISUO[[#This Row],[الفرق بين الفعلي والمتوقع]]&gt;3,"سيئة",IF(MISUO[[#This Row],[الفرق بين الفعلي والمتوقع]]&gt;=0,"مقبولة","ممتازة"))</f>
        <v>سيئة</v>
      </c>
      <c r="U6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7" t="s">
        <v>143</v>
      </c>
      <c r="W6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7" t="s">
        <v>89</v>
      </c>
    </row>
    <row r="68" spans="1:24" ht="20.100000000000001" customHeight="1" x14ac:dyDescent="0.3">
      <c r="A68" t="s">
        <v>91</v>
      </c>
      <c r="B68" t="s">
        <v>148</v>
      </c>
      <c r="C68" t="s">
        <v>160</v>
      </c>
      <c r="D68" t="s">
        <v>158</v>
      </c>
      <c r="E68" t="s">
        <v>3</v>
      </c>
      <c r="F68">
        <v>1</v>
      </c>
      <c r="G68" t="s">
        <v>63</v>
      </c>
      <c r="H68" t="s">
        <v>181</v>
      </c>
      <c r="I68" t="s">
        <v>82</v>
      </c>
      <c r="J68">
        <v>120</v>
      </c>
      <c r="K68" t="s">
        <v>74</v>
      </c>
      <c r="L68">
        <v>8943</v>
      </c>
      <c r="M68" t="s">
        <v>192</v>
      </c>
      <c r="N68" s="2">
        <v>45561</v>
      </c>
      <c r="O68" s="2">
        <v>45606</v>
      </c>
      <c r="P68" s="2">
        <v>45575</v>
      </c>
      <c r="Q6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68" s="4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68" s="4">
        <f>IFERROR(IF(OR(ISBLANK(MISUO[[#This Row],[المدة الفعلية]]), ISBLANK(MISUO[[#This Row],[المدة المتوقعة]])), "", MISUO[[#This Row],[المدة الفعلية]]-MISUO[[#This Row],[المدة المتوقعة]]), "")</f>
        <v>-31</v>
      </c>
      <c r="T6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8" t="s">
        <v>143</v>
      </c>
      <c r="W6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8" t="s">
        <v>89</v>
      </c>
    </row>
    <row r="69" spans="1:24" ht="20.100000000000001" customHeight="1" x14ac:dyDescent="0.3">
      <c r="A69" t="s">
        <v>92</v>
      </c>
      <c r="B69" t="s">
        <v>148</v>
      </c>
      <c r="C69" t="s">
        <v>159</v>
      </c>
      <c r="D69" t="s">
        <v>152</v>
      </c>
      <c r="E69" t="s">
        <v>3</v>
      </c>
      <c r="F69">
        <v>1</v>
      </c>
      <c r="G69" t="s">
        <v>184</v>
      </c>
      <c r="H69" t="s">
        <v>185</v>
      </c>
      <c r="I69"/>
      <c r="J69"/>
      <c r="K69"/>
      <c r="L69">
        <v>8433</v>
      </c>
      <c r="M69" t="s">
        <v>192</v>
      </c>
      <c r="N69" s="2">
        <v>45561</v>
      </c>
      <c r="O69" s="2">
        <v>45606</v>
      </c>
      <c r="P69" s="2"/>
      <c r="Q6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69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69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69" s="2" t="str">
        <f>IF(MISUO[[#This Row],[الفرق بين الفعلي والمتوقع]]&gt;3,"سيئة",IF(MISUO[[#This Row],[الفرق بين الفعلي والمتوقع]]&gt;=0,"مقبولة","ممتازة"))</f>
        <v>سيئة</v>
      </c>
      <c r="U69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9" t="s">
        <v>87</v>
      </c>
      <c r="W6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9" t="s">
        <v>87</v>
      </c>
    </row>
    <row r="70" spans="1:24" ht="20.100000000000001" customHeight="1" x14ac:dyDescent="0.3">
      <c r="A70" t="s">
        <v>11</v>
      </c>
      <c r="B70" t="s">
        <v>149</v>
      </c>
      <c r="C70" t="s">
        <v>20</v>
      </c>
      <c r="D70" t="s">
        <v>158</v>
      </c>
      <c r="E70" t="s">
        <v>11</v>
      </c>
      <c r="F70">
        <v>1</v>
      </c>
      <c r="G70" t="s">
        <v>71</v>
      </c>
      <c r="H70" t="s">
        <v>72</v>
      </c>
      <c r="I70"/>
      <c r="J70"/>
      <c r="K70" t="s">
        <v>98</v>
      </c>
      <c r="L70">
        <v>14950</v>
      </c>
      <c r="M70" t="s">
        <v>6</v>
      </c>
      <c r="N70" s="2">
        <v>45561</v>
      </c>
      <c r="O70" s="2">
        <v>45579</v>
      </c>
      <c r="P70" s="2">
        <v>45578</v>
      </c>
      <c r="Q7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70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70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7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7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70" t="s">
        <v>143</v>
      </c>
      <c r="W7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0" t="s">
        <v>89</v>
      </c>
    </row>
    <row r="71" spans="1:24" ht="20.100000000000001" customHeight="1" x14ac:dyDescent="0.3">
      <c r="A71" t="s">
        <v>11</v>
      </c>
      <c r="B71" t="s">
        <v>149</v>
      </c>
      <c r="C71" t="s">
        <v>178</v>
      </c>
      <c r="D71" t="s">
        <v>178</v>
      </c>
      <c r="E71" t="s">
        <v>11</v>
      </c>
      <c r="F71">
        <v>1</v>
      </c>
      <c r="G71" t="s">
        <v>63</v>
      </c>
      <c r="H71" t="s">
        <v>73</v>
      </c>
      <c r="I71" t="s">
        <v>67</v>
      </c>
      <c r="J71">
        <v>100</v>
      </c>
      <c r="K71" t="s">
        <v>75</v>
      </c>
      <c r="L71">
        <v>9608</v>
      </c>
      <c r="M71" t="s">
        <v>192</v>
      </c>
      <c r="N71" s="2">
        <v>45561</v>
      </c>
      <c r="O71" s="2">
        <v>45579</v>
      </c>
      <c r="P71" s="2"/>
      <c r="Q7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71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71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71" s="2" t="str">
        <f>IF(MISUO[[#This Row],[الفرق بين الفعلي والمتوقع]]&gt;3,"سيئة",IF(MISUO[[#This Row],[الفرق بين الفعلي والمتوقع]]&gt;=0,"مقبولة","ممتازة"))</f>
        <v>سيئة</v>
      </c>
      <c r="U71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1" t="s">
        <v>87</v>
      </c>
      <c r="W7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1" t="s">
        <v>87</v>
      </c>
    </row>
    <row r="72" spans="1:24" ht="20.100000000000001" customHeight="1" x14ac:dyDescent="0.3">
      <c r="A72" t="s">
        <v>11</v>
      </c>
      <c r="B72" t="s">
        <v>149</v>
      </c>
      <c r="C72" t="s">
        <v>178</v>
      </c>
      <c r="D72" t="s">
        <v>178</v>
      </c>
      <c r="E72" t="s">
        <v>11</v>
      </c>
      <c r="F72">
        <v>1</v>
      </c>
      <c r="G72" t="s">
        <v>63</v>
      </c>
      <c r="H72" t="s">
        <v>181</v>
      </c>
      <c r="I72" t="s">
        <v>182</v>
      </c>
      <c r="J72">
        <v>120</v>
      </c>
      <c r="K72" t="s">
        <v>74</v>
      </c>
      <c r="L72">
        <v>7433</v>
      </c>
      <c r="M72" t="s">
        <v>6</v>
      </c>
      <c r="N72" s="2">
        <v>45564</v>
      </c>
      <c r="O72" s="2">
        <v>45585</v>
      </c>
      <c r="P72" s="2">
        <v>45586</v>
      </c>
      <c r="Q7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72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2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72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2" t="s">
        <v>143</v>
      </c>
      <c r="W7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2" t="s">
        <v>89</v>
      </c>
    </row>
    <row r="73" spans="1:24" ht="20.100000000000001" customHeight="1" x14ac:dyDescent="0.3">
      <c r="A73" t="s">
        <v>30</v>
      </c>
      <c r="B73" t="s">
        <v>149</v>
      </c>
      <c r="C73" t="s">
        <v>179</v>
      </c>
      <c r="D73" t="s">
        <v>152</v>
      </c>
      <c r="E73" t="s">
        <v>146</v>
      </c>
      <c r="F73">
        <v>1</v>
      </c>
      <c r="G73" t="s">
        <v>63</v>
      </c>
      <c r="H73" t="s">
        <v>181</v>
      </c>
      <c r="I73" t="s">
        <v>82</v>
      </c>
      <c r="J73">
        <v>120</v>
      </c>
      <c r="K73" t="s">
        <v>74</v>
      </c>
      <c r="L73">
        <v>4020</v>
      </c>
      <c r="M73" t="s">
        <v>31</v>
      </c>
      <c r="N73" s="2">
        <v>45564</v>
      </c>
      <c r="O73" s="2">
        <v>45577</v>
      </c>
      <c r="P73" s="2">
        <v>45577</v>
      </c>
      <c r="Q7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73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73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3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3" t="s">
        <v>143</v>
      </c>
      <c r="W7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3" t="s">
        <v>89</v>
      </c>
    </row>
    <row r="74" spans="1:24" ht="20.100000000000001" customHeight="1" x14ac:dyDescent="0.3">
      <c r="A74" t="s">
        <v>94</v>
      </c>
      <c r="B74" t="s">
        <v>148</v>
      </c>
      <c r="C74" t="s">
        <v>178</v>
      </c>
      <c r="D74" t="s">
        <v>95</v>
      </c>
      <c r="E74" t="s">
        <v>95</v>
      </c>
      <c r="F74">
        <v>1</v>
      </c>
      <c r="G74" t="s">
        <v>63</v>
      </c>
      <c r="H74" t="s">
        <v>73</v>
      </c>
      <c r="I74" t="s">
        <v>109</v>
      </c>
      <c r="J74">
        <v>100</v>
      </c>
      <c r="K74"/>
      <c r="L74">
        <v>9608</v>
      </c>
      <c r="M74"/>
      <c r="N74" s="2">
        <v>45566</v>
      </c>
      <c r="O74" s="2">
        <v>45574</v>
      </c>
      <c r="P74" s="2">
        <v>45574</v>
      </c>
      <c r="Q7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4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4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4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4" t="s">
        <v>101</v>
      </c>
      <c r="W7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4" t="s">
        <v>89</v>
      </c>
    </row>
    <row r="75" spans="1:24" ht="20.100000000000001" customHeight="1" x14ac:dyDescent="0.3">
      <c r="A75" t="s">
        <v>94</v>
      </c>
      <c r="B75" t="s">
        <v>148</v>
      </c>
      <c r="C75" t="s">
        <v>178</v>
      </c>
      <c r="D75" t="s">
        <v>95</v>
      </c>
      <c r="E75" t="s">
        <v>95</v>
      </c>
      <c r="F75">
        <v>1</v>
      </c>
      <c r="G75" t="s">
        <v>63</v>
      </c>
      <c r="H75" t="s">
        <v>64</v>
      </c>
      <c r="I75"/>
      <c r="J75"/>
      <c r="K75" t="s">
        <v>75</v>
      </c>
      <c r="L75">
        <v>4600</v>
      </c>
      <c r="M75"/>
      <c r="N75" s="2">
        <v>45566</v>
      </c>
      <c r="O75" s="2">
        <v>45574</v>
      </c>
      <c r="P75" s="2">
        <v>45574</v>
      </c>
      <c r="Q7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5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5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5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5" t="s">
        <v>101</v>
      </c>
      <c r="W7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5" t="s">
        <v>89</v>
      </c>
    </row>
    <row r="76" spans="1:24" ht="20.100000000000001" customHeight="1" x14ac:dyDescent="0.3">
      <c r="A76" t="s">
        <v>94</v>
      </c>
      <c r="B76" t="s">
        <v>148</v>
      </c>
      <c r="C76" t="s">
        <v>178</v>
      </c>
      <c r="D76" t="s">
        <v>95</v>
      </c>
      <c r="E76" t="s">
        <v>95</v>
      </c>
      <c r="F76">
        <v>1</v>
      </c>
      <c r="G76" t="s">
        <v>71</v>
      </c>
      <c r="H76"/>
      <c r="I76" t="s">
        <v>96</v>
      </c>
      <c r="J76"/>
      <c r="K76" t="s">
        <v>75</v>
      </c>
      <c r="L76">
        <v>10000</v>
      </c>
      <c r="M76"/>
      <c r="N76" s="2">
        <v>45566</v>
      </c>
      <c r="O76" s="2">
        <v>45574</v>
      </c>
      <c r="P76" s="2">
        <v>45574</v>
      </c>
      <c r="Q7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6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6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6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6" t="s">
        <v>101</v>
      </c>
      <c r="W7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6" t="s">
        <v>89</v>
      </c>
    </row>
    <row r="77" spans="1:24" ht="20.100000000000001" customHeight="1" x14ac:dyDescent="0.3">
      <c r="A77" t="s">
        <v>94</v>
      </c>
      <c r="B77" t="s">
        <v>148</v>
      </c>
      <c r="C77" t="s">
        <v>178</v>
      </c>
      <c r="D77" t="s">
        <v>95</v>
      </c>
      <c r="E77" t="s">
        <v>95</v>
      </c>
      <c r="F77">
        <v>1</v>
      </c>
      <c r="G77" t="s">
        <v>97</v>
      </c>
      <c r="H77"/>
      <c r="I77"/>
      <c r="J77"/>
      <c r="K77" t="s">
        <v>75</v>
      </c>
      <c r="L77">
        <v>5500</v>
      </c>
      <c r="M77"/>
      <c r="N77" s="2">
        <v>45566</v>
      </c>
      <c r="O77" s="2">
        <v>45574</v>
      </c>
      <c r="P77" s="2">
        <v>45574</v>
      </c>
      <c r="Q7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7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7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7" t="s">
        <v>101</v>
      </c>
      <c r="W7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7" t="s">
        <v>89</v>
      </c>
    </row>
    <row r="78" spans="1:24" ht="20.100000000000001" customHeight="1" x14ac:dyDescent="0.3">
      <c r="A78" t="s">
        <v>99</v>
      </c>
      <c r="B78" t="s">
        <v>148</v>
      </c>
      <c r="C78" t="s">
        <v>100</v>
      </c>
      <c r="D78" t="s">
        <v>158</v>
      </c>
      <c r="E78" t="s">
        <v>3</v>
      </c>
      <c r="F78">
        <v>1</v>
      </c>
      <c r="G78" t="s">
        <v>63</v>
      </c>
      <c r="H78" t="s">
        <v>64</v>
      </c>
      <c r="I78"/>
      <c r="J78"/>
      <c r="K78" t="s">
        <v>75</v>
      </c>
      <c r="L78">
        <v>8988</v>
      </c>
      <c r="M78" t="s">
        <v>192</v>
      </c>
      <c r="N78" s="2">
        <v>45568</v>
      </c>
      <c r="O78" s="2">
        <v>45613</v>
      </c>
      <c r="P78" s="2"/>
      <c r="Q7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78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78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78" s="4" t="str">
        <f>IF(MISUO[[#This Row],[الفرق بين الفعلي والمتوقع]]&gt;3,"سيئة",IF(MISUO[[#This Row],[الفرق بين الفعلي والمتوقع]]&gt;=0,"مقبولة","ممتازة"))</f>
        <v>سيئة</v>
      </c>
      <c r="U7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8" t="s">
        <v>145</v>
      </c>
      <c r="W78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78" t="s">
        <v>89</v>
      </c>
    </row>
    <row r="79" spans="1:24" ht="20.100000000000001" customHeight="1" x14ac:dyDescent="0.3">
      <c r="A79" t="s">
        <v>11</v>
      </c>
      <c r="B79" t="s">
        <v>149</v>
      </c>
      <c r="C79" t="s">
        <v>178</v>
      </c>
      <c r="D79" t="s">
        <v>178</v>
      </c>
      <c r="E79" t="s">
        <v>11</v>
      </c>
      <c r="F79">
        <v>1</v>
      </c>
      <c r="G79" t="s">
        <v>71</v>
      </c>
      <c r="H79" t="s">
        <v>72</v>
      </c>
      <c r="I79"/>
      <c r="J79"/>
      <c r="K79" t="s">
        <v>75</v>
      </c>
      <c r="L79">
        <v>14550</v>
      </c>
      <c r="M79" t="s">
        <v>6</v>
      </c>
      <c r="N79" s="2">
        <v>45573</v>
      </c>
      <c r="O79" s="2">
        <v>45594</v>
      </c>
      <c r="P79" s="2">
        <v>45595</v>
      </c>
      <c r="Q7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79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9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7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9" t="s">
        <v>143</v>
      </c>
      <c r="W7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9" t="s">
        <v>89</v>
      </c>
    </row>
    <row r="80" spans="1:24" ht="20.100000000000001" customHeight="1" x14ac:dyDescent="0.3">
      <c r="A80" t="s">
        <v>11</v>
      </c>
      <c r="B80" t="s">
        <v>149</v>
      </c>
      <c r="C80" t="s">
        <v>159</v>
      </c>
      <c r="D80" t="s">
        <v>152</v>
      </c>
      <c r="E80" t="s">
        <v>11</v>
      </c>
      <c r="F80">
        <v>1</v>
      </c>
      <c r="G80" t="s">
        <v>71</v>
      </c>
      <c r="H80" t="s">
        <v>72</v>
      </c>
      <c r="I80"/>
      <c r="J80"/>
      <c r="K80" t="s">
        <v>75</v>
      </c>
      <c r="L80">
        <v>14550</v>
      </c>
      <c r="M80" t="s">
        <v>6</v>
      </c>
      <c r="N80" s="2">
        <v>45572</v>
      </c>
      <c r="O80" s="2">
        <v>45594</v>
      </c>
      <c r="P80" s="2">
        <v>45580</v>
      </c>
      <c r="Q8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80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80" s="4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8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0" t="s">
        <v>143</v>
      </c>
      <c r="W8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0" t="s">
        <v>89</v>
      </c>
    </row>
    <row r="81" spans="1:24" ht="20.100000000000001" customHeight="1" x14ac:dyDescent="0.3">
      <c r="A81" t="s">
        <v>11</v>
      </c>
      <c r="B81" t="s">
        <v>149</v>
      </c>
      <c r="C81" t="s">
        <v>178</v>
      </c>
      <c r="D81" t="s">
        <v>178</v>
      </c>
      <c r="E81" t="s">
        <v>11</v>
      </c>
      <c r="F81">
        <v>1</v>
      </c>
      <c r="G81" t="s">
        <v>71</v>
      </c>
      <c r="H81" t="s">
        <v>72</v>
      </c>
      <c r="I81"/>
      <c r="J81"/>
      <c r="K81" t="s">
        <v>75</v>
      </c>
      <c r="L81">
        <v>14550</v>
      </c>
      <c r="M81" t="s">
        <v>192</v>
      </c>
      <c r="N81" s="2">
        <v>45575</v>
      </c>
      <c r="O81" s="2">
        <v>45596</v>
      </c>
      <c r="P81" s="2">
        <v>45598</v>
      </c>
      <c r="Q8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1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81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81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8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1" t="s">
        <v>143</v>
      </c>
      <c r="W8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1" t="s">
        <v>89</v>
      </c>
    </row>
    <row r="82" spans="1:24" ht="20.100000000000001" customHeight="1" x14ac:dyDescent="0.3">
      <c r="A82" t="s">
        <v>102</v>
      </c>
      <c r="B82" t="s">
        <v>148</v>
      </c>
      <c r="C82" t="s">
        <v>161</v>
      </c>
      <c r="D82" t="s">
        <v>158</v>
      </c>
      <c r="E82" t="s">
        <v>3</v>
      </c>
      <c r="F82">
        <v>1</v>
      </c>
      <c r="G82" t="s">
        <v>63</v>
      </c>
      <c r="H82" t="s">
        <v>73</v>
      </c>
      <c r="I82" t="s">
        <v>103</v>
      </c>
      <c r="J82" t="s">
        <v>188</v>
      </c>
      <c r="K82" t="s">
        <v>189</v>
      </c>
      <c r="L82">
        <v>13028</v>
      </c>
      <c r="M82" t="s">
        <v>192</v>
      </c>
      <c r="N82" s="2">
        <v>45578</v>
      </c>
      <c r="O82" s="2">
        <v>45643</v>
      </c>
      <c r="P82" s="2">
        <v>45598</v>
      </c>
      <c r="Q8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65</v>
      </c>
      <c r="R82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82" s="4">
        <f>IFERROR(IF(OR(ISBLANK(MISUO[[#This Row],[المدة الفعلية]]), ISBLANK(MISUO[[#This Row],[المدة المتوقعة]])), "", MISUO[[#This Row],[المدة الفعلية]]-MISUO[[#This Row],[المدة المتوقعة]]), "")</f>
        <v>-45</v>
      </c>
      <c r="T82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2" t="s">
        <v>143</v>
      </c>
      <c r="W8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2" t="s">
        <v>89</v>
      </c>
    </row>
    <row r="83" spans="1:24" ht="20.100000000000001" customHeight="1" x14ac:dyDescent="0.3">
      <c r="A83" t="s">
        <v>104</v>
      </c>
      <c r="B83" t="s">
        <v>148</v>
      </c>
      <c r="C83" t="s">
        <v>174</v>
      </c>
      <c r="D83" t="s">
        <v>158</v>
      </c>
      <c r="E83" t="s">
        <v>3</v>
      </c>
      <c r="F83">
        <v>1</v>
      </c>
      <c r="G83" t="s">
        <v>63</v>
      </c>
      <c r="H83" t="s">
        <v>73</v>
      </c>
      <c r="I83" t="s">
        <v>68</v>
      </c>
      <c r="J83">
        <v>80</v>
      </c>
      <c r="K83" t="s">
        <v>74</v>
      </c>
      <c r="L83">
        <v>10499</v>
      </c>
      <c r="M83" t="s">
        <v>6</v>
      </c>
      <c r="N83" s="2">
        <v>45581</v>
      </c>
      <c r="O83" s="2">
        <v>45645</v>
      </c>
      <c r="P83" s="2">
        <v>45586</v>
      </c>
      <c r="Q8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64</v>
      </c>
      <c r="R83" s="4">
        <f>IF(OR(ISBLANK(MISUO[[#This Row],[تاريخ التسليم الفعلي]]), ISBLANK(MISUO[[#This Row],[تاريخ الطلب]])), "", MISUO[[#This Row],[تاريخ التسليم الفعلي]]-MISUO[[#This Row],[تاريخ الطلب]])</f>
        <v>5</v>
      </c>
      <c r="S83" s="4">
        <f>IFERROR(IF(OR(ISBLANK(MISUO[[#This Row],[المدة الفعلية]]), ISBLANK(MISUO[[#This Row],[المدة المتوقعة]])), "", MISUO[[#This Row],[المدة الفعلية]]-MISUO[[#This Row],[المدة المتوقعة]]), "")</f>
        <v>-59</v>
      </c>
      <c r="T83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3" t="s">
        <v>143</v>
      </c>
      <c r="W8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3" t="s">
        <v>89</v>
      </c>
    </row>
    <row r="84" spans="1:24" ht="20.100000000000001" customHeight="1" x14ac:dyDescent="0.3">
      <c r="A84" t="s">
        <v>105</v>
      </c>
      <c r="B84" t="s">
        <v>148</v>
      </c>
      <c r="C84" t="s">
        <v>171</v>
      </c>
      <c r="D84" t="s">
        <v>166</v>
      </c>
      <c r="E84" t="s">
        <v>3</v>
      </c>
      <c r="F84">
        <v>1</v>
      </c>
      <c r="G84" t="s">
        <v>63</v>
      </c>
      <c r="H84" t="s">
        <v>73</v>
      </c>
      <c r="I84" t="s">
        <v>65</v>
      </c>
      <c r="J84" t="s">
        <v>188</v>
      </c>
      <c r="K84" t="s">
        <v>189</v>
      </c>
      <c r="L84">
        <v>12899</v>
      </c>
      <c r="M84" t="s">
        <v>6</v>
      </c>
      <c r="N84" s="2">
        <v>45582</v>
      </c>
      <c r="O84" s="2">
        <v>45648</v>
      </c>
      <c r="P84" s="2">
        <v>45629</v>
      </c>
      <c r="Q8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84" s="4">
        <f>IF(OR(ISBLANK(MISUO[[#This Row],[تاريخ التسليم الفعلي]]), ISBLANK(MISUO[[#This Row],[تاريخ الطلب]])), "", MISUO[[#This Row],[تاريخ التسليم الفعلي]]-MISUO[[#This Row],[تاريخ الطلب]])</f>
        <v>47</v>
      </c>
      <c r="S84" s="4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8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4" t="s">
        <v>202</v>
      </c>
      <c r="W84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84" t="s">
        <v>89</v>
      </c>
    </row>
    <row r="85" spans="1:24" ht="20.100000000000001" customHeight="1" x14ac:dyDescent="0.3">
      <c r="A85" t="s">
        <v>106</v>
      </c>
      <c r="B85" t="s">
        <v>148</v>
      </c>
      <c r="C85" t="s">
        <v>20</v>
      </c>
      <c r="D85" t="s">
        <v>158</v>
      </c>
      <c r="E85" t="s">
        <v>107</v>
      </c>
      <c r="F85">
        <v>1</v>
      </c>
      <c r="G85" t="s">
        <v>63</v>
      </c>
      <c r="H85" t="s">
        <v>181</v>
      </c>
      <c r="I85" t="s">
        <v>108</v>
      </c>
      <c r="J85">
        <v>140</v>
      </c>
      <c r="K85" t="s">
        <v>98</v>
      </c>
      <c r="L85">
        <v>5135</v>
      </c>
      <c r="M85" t="s">
        <v>6</v>
      </c>
      <c r="N85" s="2">
        <v>45585</v>
      </c>
      <c r="O85" s="2">
        <v>45613</v>
      </c>
      <c r="P85" s="2">
        <v>45610</v>
      </c>
      <c r="Q8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28</v>
      </c>
      <c r="R85" s="4">
        <f>IF(OR(ISBLANK(MISUO[[#This Row],[تاريخ التسليم الفعلي]]), ISBLANK(MISUO[[#This Row],[تاريخ الطلب]])), "", MISUO[[#This Row],[تاريخ التسليم الفعلي]]-MISUO[[#This Row],[تاريخ الطلب]])</f>
        <v>25</v>
      </c>
      <c r="S85" s="4">
        <f>IFERROR(IF(OR(ISBLANK(MISUO[[#This Row],[المدة الفعلية]]), ISBLANK(MISUO[[#This Row],[المدة المتوقعة]])), "", MISUO[[#This Row],[المدة الفعلية]]-MISUO[[#This Row],[المدة المتوقعة]]), "")</f>
        <v>-3</v>
      </c>
      <c r="T85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5" t="s">
        <v>143</v>
      </c>
      <c r="W8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5" t="s">
        <v>89</v>
      </c>
    </row>
    <row r="86" spans="1:24" ht="20.100000000000001" customHeight="1" x14ac:dyDescent="0.3">
      <c r="A86" t="s">
        <v>11</v>
      </c>
      <c r="B86" t="s">
        <v>149</v>
      </c>
      <c r="C86" t="s">
        <v>159</v>
      </c>
      <c r="D86" t="s">
        <v>152</v>
      </c>
      <c r="E86" t="s">
        <v>11</v>
      </c>
      <c r="F86">
        <v>1</v>
      </c>
      <c r="G86" t="s">
        <v>63</v>
      </c>
      <c r="H86" t="s">
        <v>73</v>
      </c>
      <c r="I86" t="s">
        <v>109</v>
      </c>
      <c r="J86">
        <v>100</v>
      </c>
      <c r="K86"/>
      <c r="L86">
        <v>12777.5</v>
      </c>
      <c r="M86" t="s">
        <v>192</v>
      </c>
      <c r="N86" s="2">
        <v>45587</v>
      </c>
      <c r="O86" s="2">
        <v>45608</v>
      </c>
      <c r="P86" s="2">
        <v>45614</v>
      </c>
      <c r="Q8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6" s="4">
        <f>IF(OR(ISBLANK(MISUO[[#This Row],[تاريخ التسليم الفعلي]]), ISBLANK(MISUO[[#This Row],[تاريخ الطلب]])), "", MISUO[[#This Row],[تاريخ التسليم الفعلي]]-MISUO[[#This Row],[تاريخ الطلب]])</f>
        <v>27</v>
      </c>
      <c r="S86" s="4">
        <f>IFERROR(IF(OR(ISBLANK(MISUO[[#This Row],[المدة الفعلية]]), ISBLANK(MISUO[[#This Row],[المدة المتوقعة]])), "", MISUO[[#This Row],[المدة الفعلية]]-MISUO[[#This Row],[المدة المتوقعة]]), "")</f>
        <v>6</v>
      </c>
      <c r="T86" s="4" t="str">
        <f>IF(MISUO[[#This Row],[الفرق بين الفعلي والمتوقع]]&gt;3,"سيئة",IF(MISUO[[#This Row],[الفرق بين الفعلي والمتوقع]]&gt;=0,"مقبولة","ممتازة"))</f>
        <v>سيئة</v>
      </c>
      <c r="U8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6" t="s">
        <v>143</v>
      </c>
      <c r="W8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6" t="s">
        <v>89</v>
      </c>
    </row>
    <row r="87" spans="1:24" ht="20.100000000000001" customHeight="1" x14ac:dyDescent="0.3">
      <c r="A87" t="s">
        <v>30</v>
      </c>
      <c r="B87" t="s">
        <v>149</v>
      </c>
      <c r="C87" t="s">
        <v>175</v>
      </c>
      <c r="D87" t="s">
        <v>158</v>
      </c>
      <c r="E87" t="s">
        <v>146</v>
      </c>
      <c r="F87">
        <v>1</v>
      </c>
      <c r="G87" t="s">
        <v>63</v>
      </c>
      <c r="H87" t="s">
        <v>73</v>
      </c>
      <c r="I87" t="s">
        <v>109</v>
      </c>
      <c r="J87">
        <v>100</v>
      </c>
      <c r="K87"/>
      <c r="L87">
        <v>8544.91</v>
      </c>
      <c r="M87" t="s">
        <v>31</v>
      </c>
      <c r="N87" s="2">
        <v>45587</v>
      </c>
      <c r="O87" s="2"/>
      <c r="P87" s="2"/>
      <c r="Q87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87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87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87" s="2" t="str">
        <f>IF(MISUO[[#This Row],[الفرق بين الفعلي والمتوقع]]&gt;3,"سيئة",IF(MISUO[[#This Row],[الفرق بين الفعلي والمتوقع]]&gt;=0,"مقبولة","ممتازة"))</f>
        <v>سيئة</v>
      </c>
      <c r="U87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7" t="s">
        <v>87</v>
      </c>
      <c r="W8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7" t="s">
        <v>87</v>
      </c>
    </row>
    <row r="88" spans="1:24" ht="20.100000000000001" customHeight="1" x14ac:dyDescent="0.3">
      <c r="A88" t="s">
        <v>110</v>
      </c>
      <c r="B88" t="s">
        <v>148</v>
      </c>
      <c r="C88" t="s">
        <v>159</v>
      </c>
      <c r="D88" t="s">
        <v>152</v>
      </c>
      <c r="E88" t="s">
        <v>3</v>
      </c>
      <c r="F88">
        <v>1</v>
      </c>
      <c r="G88" t="s">
        <v>63</v>
      </c>
      <c r="H88" t="s">
        <v>181</v>
      </c>
      <c r="I88" t="s">
        <v>82</v>
      </c>
      <c r="J88">
        <v>120</v>
      </c>
      <c r="K88" t="s">
        <v>74</v>
      </c>
      <c r="L88">
        <v>9007</v>
      </c>
      <c r="M88" t="s">
        <v>192</v>
      </c>
      <c r="N88" s="2">
        <v>45586</v>
      </c>
      <c r="O88" s="2">
        <v>45610</v>
      </c>
      <c r="P88" s="2">
        <v>45614</v>
      </c>
      <c r="Q8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24</v>
      </c>
      <c r="R88" s="4">
        <f>IF(OR(ISBLANK(MISUO[[#This Row],[تاريخ التسليم الفعلي]]), ISBLANK(MISUO[[#This Row],[تاريخ الطلب]])), "", MISUO[[#This Row],[تاريخ التسليم الفعلي]]-MISUO[[#This Row],[تاريخ الطلب]])</f>
        <v>28</v>
      </c>
      <c r="S88" s="4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88" s="4" t="str">
        <f>IF(MISUO[[#This Row],[الفرق بين الفعلي والمتوقع]]&gt;3,"سيئة",IF(MISUO[[#This Row],[الفرق بين الفعلي والمتوقع]]&gt;=0,"مقبولة","ممتازة"))</f>
        <v>سيئة</v>
      </c>
      <c r="U8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8" t="s">
        <v>143</v>
      </c>
      <c r="W8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8" t="s">
        <v>89</v>
      </c>
    </row>
    <row r="89" spans="1:24" ht="20.100000000000001" customHeight="1" x14ac:dyDescent="0.3">
      <c r="A89" t="s">
        <v>11</v>
      </c>
      <c r="B89" t="s">
        <v>149</v>
      </c>
      <c r="C89" t="s">
        <v>178</v>
      </c>
      <c r="D89" t="s">
        <v>178</v>
      </c>
      <c r="E89" t="s">
        <v>11</v>
      </c>
      <c r="F89">
        <v>1</v>
      </c>
      <c r="G89" t="s">
        <v>71</v>
      </c>
      <c r="H89" t="s">
        <v>72</v>
      </c>
      <c r="I89"/>
      <c r="J89"/>
      <c r="K89" t="s">
        <v>75</v>
      </c>
      <c r="L89">
        <v>15516</v>
      </c>
      <c r="M89" t="s">
        <v>6</v>
      </c>
      <c r="N89" s="2">
        <v>45589</v>
      </c>
      <c r="O89" s="2">
        <v>45610</v>
      </c>
      <c r="P89" s="2">
        <v>45595</v>
      </c>
      <c r="Q8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9" s="4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89" s="4">
        <f>IFERROR(IF(OR(ISBLANK(MISUO[[#This Row],[المدة الفعلية]]), ISBLANK(MISUO[[#This Row],[المدة المتوقعة]])), "", MISUO[[#This Row],[المدة الفعلية]]-MISUO[[#This Row],[المدة المتوقعة]]), "")</f>
        <v>-15</v>
      </c>
      <c r="T8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9" t="s">
        <v>143</v>
      </c>
      <c r="W8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9" t="s">
        <v>89</v>
      </c>
    </row>
    <row r="90" spans="1:24" ht="20.100000000000001" customHeight="1" x14ac:dyDescent="0.3">
      <c r="A90" t="s">
        <v>11</v>
      </c>
      <c r="B90" t="s">
        <v>149</v>
      </c>
      <c r="C90" t="s">
        <v>178</v>
      </c>
      <c r="D90" t="s">
        <v>178</v>
      </c>
      <c r="E90" t="s">
        <v>11</v>
      </c>
      <c r="F90">
        <v>1</v>
      </c>
      <c r="G90" t="s">
        <v>63</v>
      </c>
      <c r="H90" t="s">
        <v>73</v>
      </c>
      <c r="I90" t="s">
        <v>67</v>
      </c>
      <c r="J90">
        <v>100</v>
      </c>
      <c r="K90" t="s">
        <v>75</v>
      </c>
      <c r="L90">
        <v>10045</v>
      </c>
      <c r="M90" t="s">
        <v>192</v>
      </c>
      <c r="N90" s="2">
        <v>45591</v>
      </c>
      <c r="O90" s="2">
        <v>45612</v>
      </c>
      <c r="P90" s="2"/>
      <c r="Q9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90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90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90" s="2" t="str">
        <f>IF(MISUO[[#This Row],[الفرق بين الفعلي والمتوقع]]&gt;3,"سيئة",IF(MISUO[[#This Row],[الفرق بين الفعلي والمتوقع]]&gt;=0,"مقبولة","ممتازة"))</f>
        <v>سيئة</v>
      </c>
      <c r="U90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0" t="s">
        <v>87</v>
      </c>
      <c r="W9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0" t="s">
        <v>87</v>
      </c>
    </row>
    <row r="91" spans="1:24" ht="20.100000000000001" customHeight="1" x14ac:dyDescent="0.3">
      <c r="A91" t="s">
        <v>54</v>
      </c>
      <c r="B91" t="s">
        <v>148</v>
      </c>
      <c r="C91" t="s">
        <v>176</v>
      </c>
      <c r="D91" t="s">
        <v>152</v>
      </c>
      <c r="E91" t="s">
        <v>3</v>
      </c>
      <c r="F91">
        <v>1</v>
      </c>
      <c r="G91" t="s">
        <v>63</v>
      </c>
      <c r="H91" t="s">
        <v>73</v>
      </c>
      <c r="I91" t="s">
        <v>67</v>
      </c>
      <c r="J91">
        <v>90</v>
      </c>
      <c r="K91" t="s">
        <v>75</v>
      </c>
      <c r="L91">
        <v>11749</v>
      </c>
      <c r="M91" t="s">
        <v>192</v>
      </c>
      <c r="N91" s="2">
        <v>45591</v>
      </c>
      <c r="O91" s="2">
        <v>45606</v>
      </c>
      <c r="P91" s="2">
        <v>45614</v>
      </c>
      <c r="Q9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1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91" s="4">
        <f>IFERROR(IF(OR(ISBLANK(MISUO[[#This Row],[المدة الفعلية]]), ISBLANK(MISUO[[#This Row],[المدة المتوقعة]])), "", MISUO[[#This Row],[المدة الفعلية]]-MISUO[[#This Row],[المدة المتوقعة]]), "")</f>
        <v>8</v>
      </c>
      <c r="T91" s="4" t="str">
        <f>IF(MISUO[[#This Row],[الفرق بين الفعلي والمتوقع]]&gt;3,"سيئة",IF(MISUO[[#This Row],[الفرق بين الفعلي والمتوقع]]&gt;=0,"مقبولة","ممتازة"))</f>
        <v>سيئة</v>
      </c>
      <c r="U9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1" t="s">
        <v>143</v>
      </c>
      <c r="W9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1" t="s">
        <v>89</v>
      </c>
    </row>
    <row r="92" spans="1:24" ht="20.100000000000001" customHeight="1" x14ac:dyDescent="0.3">
      <c r="A92" t="s">
        <v>54</v>
      </c>
      <c r="B92" t="s">
        <v>148</v>
      </c>
      <c r="C92" t="s">
        <v>176</v>
      </c>
      <c r="D92" t="s">
        <v>152</v>
      </c>
      <c r="E92" t="s">
        <v>3</v>
      </c>
      <c r="F92">
        <v>1</v>
      </c>
      <c r="G92" t="s">
        <v>63</v>
      </c>
      <c r="H92" t="s">
        <v>73</v>
      </c>
      <c r="I92" t="s">
        <v>67</v>
      </c>
      <c r="J92">
        <v>90</v>
      </c>
      <c r="K92" t="s">
        <v>75</v>
      </c>
      <c r="L92">
        <v>11749</v>
      </c>
      <c r="M92" t="s">
        <v>192</v>
      </c>
      <c r="N92" s="2">
        <v>45591</v>
      </c>
      <c r="O92" s="2">
        <v>45606</v>
      </c>
      <c r="P92" s="2">
        <v>45614</v>
      </c>
      <c r="Q9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2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92" s="4">
        <f>IFERROR(IF(OR(ISBLANK(MISUO[[#This Row],[المدة الفعلية]]), ISBLANK(MISUO[[#This Row],[المدة المتوقعة]])), "", MISUO[[#This Row],[المدة الفعلية]]-MISUO[[#This Row],[المدة المتوقعة]]), "")</f>
        <v>8</v>
      </c>
      <c r="T92" s="4" t="str">
        <f>IF(MISUO[[#This Row],[الفرق بين الفعلي والمتوقع]]&gt;3,"سيئة",IF(MISUO[[#This Row],[الفرق بين الفعلي والمتوقع]]&gt;=0,"مقبولة","ممتازة"))</f>
        <v>سيئة</v>
      </c>
      <c r="U9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2" t="s">
        <v>143</v>
      </c>
      <c r="W9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2" t="s">
        <v>89</v>
      </c>
    </row>
    <row r="93" spans="1:24" ht="20.100000000000001" customHeight="1" x14ac:dyDescent="0.3">
      <c r="A93" t="s">
        <v>111</v>
      </c>
      <c r="B93" t="s">
        <v>149</v>
      </c>
      <c r="C93" t="s">
        <v>41</v>
      </c>
      <c r="D93" t="s">
        <v>158</v>
      </c>
      <c r="E93" t="s">
        <v>3</v>
      </c>
      <c r="F93">
        <v>1</v>
      </c>
      <c r="G93" t="s">
        <v>63</v>
      </c>
      <c r="H93" t="s">
        <v>181</v>
      </c>
      <c r="I93" t="s">
        <v>182</v>
      </c>
      <c r="J93">
        <v>100</v>
      </c>
      <c r="K93" t="s">
        <v>74</v>
      </c>
      <c r="L93">
        <v>4800</v>
      </c>
      <c r="M93" t="s">
        <v>192</v>
      </c>
      <c r="N93" s="2">
        <v>45593</v>
      </c>
      <c r="O93" s="2">
        <v>45607</v>
      </c>
      <c r="P93" s="2">
        <v>45617</v>
      </c>
      <c r="Q9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3" s="4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93" s="4">
        <f>IFERROR(IF(OR(ISBLANK(MISUO[[#This Row],[المدة الفعلية]]), ISBLANK(MISUO[[#This Row],[المدة المتوقعة]])), "", MISUO[[#This Row],[المدة الفعلية]]-MISUO[[#This Row],[المدة المتوقعة]]), "")</f>
        <v>10</v>
      </c>
      <c r="T93" s="4" t="str">
        <f>IF(MISUO[[#This Row],[الفرق بين الفعلي والمتوقع]]&gt;3,"سيئة",IF(MISUO[[#This Row],[الفرق بين الفعلي والمتوقع]]&gt;=0,"مقبولة","ممتازة"))</f>
        <v>سيئة</v>
      </c>
      <c r="U9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3" t="s">
        <v>143</v>
      </c>
      <c r="W9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3" t="s">
        <v>89</v>
      </c>
    </row>
    <row r="94" spans="1:24" ht="20.100000000000001" customHeight="1" x14ac:dyDescent="0.3">
      <c r="A94" t="s">
        <v>111</v>
      </c>
      <c r="B94" t="s">
        <v>149</v>
      </c>
      <c r="C94" t="s">
        <v>41</v>
      </c>
      <c r="D94" t="s">
        <v>158</v>
      </c>
      <c r="E94" t="s">
        <v>3</v>
      </c>
      <c r="F94">
        <v>1</v>
      </c>
      <c r="G94" t="s">
        <v>63</v>
      </c>
      <c r="H94" t="s">
        <v>181</v>
      </c>
      <c r="I94" t="s">
        <v>182</v>
      </c>
      <c r="J94">
        <v>120</v>
      </c>
      <c r="K94" t="s">
        <v>74</v>
      </c>
      <c r="L94">
        <v>5000</v>
      </c>
      <c r="M94" t="s">
        <v>192</v>
      </c>
      <c r="N94" s="2">
        <v>45593</v>
      </c>
      <c r="O94" s="2">
        <v>45607</v>
      </c>
      <c r="P94" s="2">
        <v>45617</v>
      </c>
      <c r="Q9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4" s="4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94" s="4">
        <f>IFERROR(IF(OR(ISBLANK(MISUO[[#This Row],[المدة الفعلية]]), ISBLANK(MISUO[[#This Row],[المدة المتوقعة]])), "", MISUO[[#This Row],[المدة الفعلية]]-MISUO[[#This Row],[المدة المتوقعة]]), "")</f>
        <v>10</v>
      </c>
      <c r="T94" s="4" t="str">
        <f>IF(MISUO[[#This Row],[الفرق بين الفعلي والمتوقع]]&gt;3,"سيئة",IF(MISUO[[#This Row],[الفرق بين الفعلي والمتوقع]]&gt;=0,"مقبولة","ممتازة"))</f>
        <v>سيئة</v>
      </c>
      <c r="U9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4" t="s">
        <v>143</v>
      </c>
      <c r="W9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4" t="s">
        <v>89</v>
      </c>
    </row>
    <row r="95" spans="1:24" ht="20.100000000000001" customHeight="1" x14ac:dyDescent="0.3">
      <c r="A95" t="s">
        <v>112</v>
      </c>
      <c r="B95" t="s">
        <v>148</v>
      </c>
      <c r="C95" t="s">
        <v>115</v>
      </c>
      <c r="D95" t="s">
        <v>158</v>
      </c>
      <c r="E95" t="s">
        <v>3</v>
      </c>
      <c r="F95">
        <v>1</v>
      </c>
      <c r="G95" t="s">
        <v>63</v>
      </c>
      <c r="H95" t="s">
        <v>73</v>
      </c>
      <c r="I95" t="s">
        <v>68</v>
      </c>
      <c r="J95">
        <v>80</v>
      </c>
      <c r="K95" t="s">
        <v>74</v>
      </c>
      <c r="L95">
        <v>12099</v>
      </c>
      <c r="M95" t="s">
        <v>6</v>
      </c>
      <c r="N95" s="2">
        <v>45607</v>
      </c>
      <c r="O95" s="2">
        <v>45622</v>
      </c>
      <c r="P95" s="2">
        <v>45623</v>
      </c>
      <c r="Q9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5" s="4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95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95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9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5" t="s">
        <v>143</v>
      </c>
      <c r="W9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5" t="s">
        <v>89</v>
      </c>
    </row>
    <row r="96" spans="1:24" ht="20.100000000000001" customHeight="1" x14ac:dyDescent="0.3">
      <c r="A96" t="s">
        <v>18</v>
      </c>
      <c r="B96" t="s">
        <v>149</v>
      </c>
      <c r="C96" t="s">
        <v>178</v>
      </c>
      <c r="D96" t="s">
        <v>178</v>
      </c>
      <c r="E96" t="s">
        <v>11</v>
      </c>
      <c r="F96">
        <v>1</v>
      </c>
      <c r="G96" t="s">
        <v>71</v>
      </c>
      <c r="H96" t="s">
        <v>72</v>
      </c>
      <c r="I96" t="s">
        <v>113</v>
      </c>
      <c r="J96"/>
      <c r="K96" t="s">
        <v>75</v>
      </c>
      <c r="L96">
        <v>15872</v>
      </c>
      <c r="M96" t="s">
        <v>6</v>
      </c>
      <c r="N96" s="2">
        <v>45604</v>
      </c>
      <c r="O96" s="2">
        <v>45629</v>
      </c>
      <c r="P96" s="2">
        <v>45610</v>
      </c>
      <c r="Q9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25</v>
      </c>
      <c r="R96" s="4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96" s="4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9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9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6" t="s">
        <v>143</v>
      </c>
      <c r="W9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6" t="s">
        <v>89</v>
      </c>
    </row>
    <row r="97" spans="1:24" ht="20.100000000000001" customHeight="1" x14ac:dyDescent="0.3">
      <c r="A97" t="s">
        <v>114</v>
      </c>
      <c r="B97" t="s">
        <v>149</v>
      </c>
      <c r="C97" t="s">
        <v>20</v>
      </c>
      <c r="D97" t="s">
        <v>158</v>
      </c>
      <c r="E97" t="s">
        <v>107</v>
      </c>
      <c r="F97">
        <v>1</v>
      </c>
      <c r="G97" t="s">
        <v>63</v>
      </c>
      <c r="H97" t="s">
        <v>181</v>
      </c>
      <c r="I97" t="s">
        <v>82</v>
      </c>
      <c r="J97">
        <v>120</v>
      </c>
      <c r="K97" t="s">
        <v>74</v>
      </c>
      <c r="L97">
        <v>4520</v>
      </c>
      <c r="M97" t="s">
        <v>31</v>
      </c>
      <c r="N97" s="2">
        <v>45606</v>
      </c>
      <c r="O97" s="2">
        <v>45618</v>
      </c>
      <c r="P97" s="2">
        <v>45617</v>
      </c>
      <c r="Q9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97" s="4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97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97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9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7" t="s">
        <v>143</v>
      </c>
      <c r="W9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7" t="s">
        <v>89</v>
      </c>
    </row>
    <row r="98" spans="1:24" ht="20.100000000000001" customHeight="1" x14ac:dyDescent="0.3">
      <c r="A98" t="s">
        <v>30</v>
      </c>
      <c r="B98" t="s">
        <v>149</v>
      </c>
      <c r="C98" t="s">
        <v>179</v>
      </c>
      <c r="D98" t="s">
        <v>152</v>
      </c>
      <c r="E98" t="s">
        <v>146</v>
      </c>
      <c r="F98">
        <v>1</v>
      </c>
      <c r="G98" t="s">
        <v>63</v>
      </c>
      <c r="H98" t="s">
        <v>73</v>
      </c>
      <c r="I98" t="s">
        <v>67</v>
      </c>
      <c r="J98">
        <v>90</v>
      </c>
      <c r="K98" t="s">
        <v>75</v>
      </c>
      <c r="L98">
        <v>5766</v>
      </c>
      <c r="M98" t="s">
        <v>31</v>
      </c>
      <c r="N98" s="2">
        <v>45608</v>
      </c>
      <c r="O98" s="2">
        <v>45622</v>
      </c>
      <c r="P98" s="2">
        <v>45621</v>
      </c>
      <c r="Q9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8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98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9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9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8" t="s">
        <v>143</v>
      </c>
      <c r="W9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8" t="s">
        <v>89</v>
      </c>
    </row>
    <row r="99" spans="1:24" ht="20.100000000000001" customHeight="1" x14ac:dyDescent="0.3">
      <c r="A99" t="s">
        <v>116</v>
      </c>
      <c r="B99" t="s">
        <v>148</v>
      </c>
      <c r="C99" t="s">
        <v>41</v>
      </c>
      <c r="D99" t="s">
        <v>158</v>
      </c>
      <c r="E99" t="s">
        <v>3</v>
      </c>
      <c r="F99">
        <v>1</v>
      </c>
      <c r="G99" t="s">
        <v>63</v>
      </c>
      <c r="H99" t="s">
        <v>181</v>
      </c>
      <c r="I99" t="s">
        <v>82</v>
      </c>
      <c r="J99">
        <v>160</v>
      </c>
      <c r="K99" t="s">
        <v>78</v>
      </c>
      <c r="L99">
        <v>11395</v>
      </c>
      <c r="M99" t="s">
        <v>6</v>
      </c>
      <c r="N99" s="2">
        <v>45608</v>
      </c>
      <c r="O99" s="2">
        <v>45620</v>
      </c>
      <c r="P99" s="2">
        <v>45623</v>
      </c>
      <c r="Q9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99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99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9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9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9" t="s">
        <v>143</v>
      </c>
      <c r="W9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9" t="s">
        <v>89</v>
      </c>
    </row>
    <row r="100" spans="1:24" ht="20.100000000000001" customHeight="1" x14ac:dyDescent="0.3">
      <c r="A100" t="s">
        <v>117</v>
      </c>
      <c r="B100" t="s">
        <v>148</v>
      </c>
      <c r="C100" t="s">
        <v>20</v>
      </c>
      <c r="D100" t="s">
        <v>158</v>
      </c>
      <c r="E100" t="s">
        <v>3</v>
      </c>
      <c r="F100">
        <v>1</v>
      </c>
      <c r="G100" t="s">
        <v>63</v>
      </c>
      <c r="H100" t="s">
        <v>73</v>
      </c>
      <c r="I100" t="s">
        <v>118</v>
      </c>
      <c r="J100">
        <v>80</v>
      </c>
      <c r="K100" t="s">
        <v>74</v>
      </c>
      <c r="L100">
        <v>12919</v>
      </c>
      <c r="M100" t="s">
        <v>6</v>
      </c>
      <c r="N100" s="2">
        <v>45610</v>
      </c>
      <c r="O100" s="2">
        <v>45626</v>
      </c>
      <c r="P100" s="2">
        <v>45623</v>
      </c>
      <c r="Q10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00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100" s="4">
        <f>IFERROR(IF(OR(ISBLANK(MISUO[[#This Row],[المدة الفعلية]]), ISBLANK(MISUO[[#This Row],[المدة المتوقعة]])), "", MISUO[[#This Row],[المدة الفعلية]]-MISUO[[#This Row],[المدة المتوقعة]]), "")</f>
        <v>-3</v>
      </c>
      <c r="T10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0" t="s">
        <v>143</v>
      </c>
      <c r="W10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0" t="s">
        <v>89</v>
      </c>
    </row>
    <row r="101" spans="1:24" ht="20.100000000000001" customHeight="1" x14ac:dyDescent="0.3">
      <c r="A101" t="s">
        <v>30</v>
      </c>
      <c r="B101" t="s">
        <v>149</v>
      </c>
      <c r="C101" t="s">
        <v>179</v>
      </c>
      <c r="D101" t="s">
        <v>152</v>
      </c>
      <c r="E101" t="s">
        <v>146</v>
      </c>
      <c r="F101">
        <v>1</v>
      </c>
      <c r="G101" t="s">
        <v>63</v>
      </c>
      <c r="H101" t="s">
        <v>73</v>
      </c>
      <c r="I101" t="s">
        <v>65</v>
      </c>
      <c r="J101">
        <v>120</v>
      </c>
      <c r="K101" t="s">
        <v>183</v>
      </c>
      <c r="L101">
        <v>6376</v>
      </c>
      <c r="M101" t="s">
        <v>31</v>
      </c>
      <c r="N101" s="2">
        <v>45610</v>
      </c>
      <c r="O101" s="2">
        <v>45623</v>
      </c>
      <c r="P101" s="2">
        <v>45621</v>
      </c>
      <c r="Q10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1" s="4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101" s="4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1" t="s">
        <v>143</v>
      </c>
      <c r="W10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1" t="s">
        <v>89</v>
      </c>
    </row>
    <row r="102" spans="1:24" ht="20.100000000000001" customHeight="1" x14ac:dyDescent="0.3">
      <c r="A102" t="s">
        <v>30</v>
      </c>
      <c r="B102" t="s">
        <v>149</v>
      </c>
      <c r="C102" t="s">
        <v>179</v>
      </c>
      <c r="D102" t="s">
        <v>152</v>
      </c>
      <c r="E102" t="s">
        <v>146</v>
      </c>
      <c r="F102">
        <v>1</v>
      </c>
      <c r="G102" t="s">
        <v>63</v>
      </c>
      <c r="H102" t="s">
        <v>73</v>
      </c>
      <c r="I102" t="s">
        <v>65</v>
      </c>
      <c r="J102">
        <v>90</v>
      </c>
      <c r="K102" t="s">
        <v>75</v>
      </c>
      <c r="L102">
        <v>5294</v>
      </c>
      <c r="M102" t="s">
        <v>31</v>
      </c>
      <c r="N102" s="2">
        <v>45610</v>
      </c>
      <c r="O102" s="2">
        <v>45623</v>
      </c>
      <c r="P102" s="2">
        <v>45621</v>
      </c>
      <c r="Q10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2" s="4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102" s="4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2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2" t="s">
        <v>143</v>
      </c>
      <c r="W10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2" t="s">
        <v>89</v>
      </c>
    </row>
    <row r="103" spans="1:24" ht="20.100000000000001" customHeight="1" x14ac:dyDescent="0.3">
      <c r="A103" t="s">
        <v>120</v>
      </c>
      <c r="B103" t="s">
        <v>148</v>
      </c>
      <c r="C103" t="s">
        <v>159</v>
      </c>
      <c r="D103" t="s">
        <v>152</v>
      </c>
      <c r="E103" t="s">
        <v>121</v>
      </c>
      <c r="F103">
        <v>1</v>
      </c>
      <c r="G103" t="s">
        <v>63</v>
      </c>
      <c r="H103" t="s">
        <v>73</v>
      </c>
      <c r="I103" t="s">
        <v>122</v>
      </c>
      <c r="J103">
        <v>80</v>
      </c>
      <c r="K103" t="s">
        <v>74</v>
      </c>
      <c r="L103">
        <v>7396</v>
      </c>
      <c r="M103" t="s">
        <v>6</v>
      </c>
      <c r="N103" s="2">
        <v>45613</v>
      </c>
      <c r="O103" s="2">
        <v>45624</v>
      </c>
      <c r="P103" s="2">
        <v>45622</v>
      </c>
      <c r="Q10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03" s="4">
        <f>IF(OR(ISBLANK(MISUO[[#This Row],[تاريخ التسليم الفعلي]]), ISBLANK(MISUO[[#This Row],[تاريخ الطلب]])), "", MISUO[[#This Row],[تاريخ التسليم الفعلي]]-MISUO[[#This Row],[تاريخ الطلب]])</f>
        <v>9</v>
      </c>
      <c r="S103" s="4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3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3" t="s">
        <v>143</v>
      </c>
      <c r="W10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3" t="s">
        <v>89</v>
      </c>
    </row>
    <row r="104" spans="1:24" ht="20.100000000000001" customHeight="1" x14ac:dyDescent="0.3">
      <c r="A104" t="s">
        <v>54</v>
      </c>
      <c r="B104" t="s">
        <v>148</v>
      </c>
      <c r="C104" t="s">
        <v>159</v>
      </c>
      <c r="D104" t="s">
        <v>152</v>
      </c>
      <c r="E104" t="s">
        <v>3</v>
      </c>
      <c r="F104">
        <v>1</v>
      </c>
      <c r="G104" t="s">
        <v>63</v>
      </c>
      <c r="H104" t="s">
        <v>73</v>
      </c>
      <c r="I104" t="s">
        <v>67</v>
      </c>
      <c r="J104">
        <v>90</v>
      </c>
      <c r="K104" t="s">
        <v>75</v>
      </c>
      <c r="L104">
        <v>13575</v>
      </c>
      <c r="M104" t="s">
        <v>192</v>
      </c>
      <c r="N104" s="2">
        <v>45616</v>
      </c>
      <c r="O104" s="2">
        <v>45631</v>
      </c>
      <c r="P104" s="2">
        <v>45622</v>
      </c>
      <c r="Q10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104" s="4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104" s="4">
        <f>IFERROR(IF(OR(ISBLANK(MISUO[[#This Row],[المدة الفعلية]]), ISBLANK(MISUO[[#This Row],[المدة المتوقعة]])), "", MISUO[[#This Row],[المدة الفعلية]]-MISUO[[#This Row],[المدة المتوقعة]]), "")</f>
        <v>-9</v>
      </c>
      <c r="T10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4" t="s">
        <v>143</v>
      </c>
      <c r="W10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4" t="s">
        <v>89</v>
      </c>
    </row>
    <row r="105" spans="1:24" ht="20.100000000000001" customHeight="1" x14ac:dyDescent="0.3">
      <c r="A105" t="s">
        <v>15</v>
      </c>
      <c r="B105" t="s">
        <v>149</v>
      </c>
      <c r="C105" t="s">
        <v>160</v>
      </c>
      <c r="D105" t="s">
        <v>158</v>
      </c>
      <c r="E105" t="s">
        <v>16</v>
      </c>
      <c r="F105">
        <v>1</v>
      </c>
      <c r="G105" t="s">
        <v>63</v>
      </c>
      <c r="H105" t="s">
        <v>181</v>
      </c>
      <c r="I105" t="s">
        <v>123</v>
      </c>
      <c r="J105">
        <v>160</v>
      </c>
      <c r="K105" t="s">
        <v>75</v>
      </c>
      <c r="L105">
        <v>5100</v>
      </c>
      <c r="M105" t="s">
        <v>31</v>
      </c>
      <c r="N105" s="2">
        <v>45610</v>
      </c>
      <c r="O105" s="2">
        <v>45634</v>
      </c>
      <c r="P105" s="2"/>
      <c r="Q10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24</v>
      </c>
      <c r="R105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05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05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5" t="s">
        <v>145</v>
      </c>
      <c r="W105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05" t="s">
        <v>89</v>
      </c>
    </row>
    <row r="106" spans="1:24" ht="20.100000000000001" customHeight="1" x14ac:dyDescent="0.3">
      <c r="A106" t="s">
        <v>124</v>
      </c>
      <c r="B106" t="s">
        <v>148</v>
      </c>
      <c r="C106" t="s">
        <v>174</v>
      </c>
      <c r="D106" t="s">
        <v>158</v>
      </c>
      <c r="E106" t="s">
        <v>125</v>
      </c>
      <c r="F106">
        <v>1</v>
      </c>
      <c r="G106" t="s">
        <v>63</v>
      </c>
      <c r="H106" t="s">
        <v>181</v>
      </c>
      <c r="I106" t="s">
        <v>126</v>
      </c>
      <c r="J106">
        <v>160</v>
      </c>
      <c r="K106" t="s">
        <v>81</v>
      </c>
      <c r="L106">
        <v>5800</v>
      </c>
      <c r="M106" t="s">
        <v>192</v>
      </c>
      <c r="N106" s="2">
        <v>45618</v>
      </c>
      <c r="O106" s="2">
        <v>45628</v>
      </c>
      <c r="P106" s="2">
        <v>45623</v>
      </c>
      <c r="Q10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06" s="4">
        <f>IF(OR(ISBLANK(MISUO[[#This Row],[تاريخ التسليم الفعلي]]), ISBLANK(MISUO[[#This Row],[تاريخ الطلب]])), "", MISUO[[#This Row],[تاريخ التسليم الفعلي]]-MISUO[[#This Row],[تاريخ الطلب]])</f>
        <v>5</v>
      </c>
      <c r="S106" s="4">
        <f>IFERROR(IF(OR(ISBLANK(MISUO[[#This Row],[المدة الفعلية]]), ISBLANK(MISUO[[#This Row],[المدة المتوقعة]])), "", MISUO[[#This Row],[المدة الفعلية]]-MISUO[[#This Row],[المدة المتوقعة]]), "")</f>
        <v>-5</v>
      </c>
      <c r="T10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6" t="s">
        <v>143</v>
      </c>
      <c r="W10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6" t="s">
        <v>89</v>
      </c>
    </row>
    <row r="107" spans="1:24" ht="20.100000000000001" customHeight="1" x14ac:dyDescent="0.3">
      <c r="A107" t="s">
        <v>127</v>
      </c>
      <c r="B107" t="s">
        <v>149</v>
      </c>
      <c r="C107" t="s">
        <v>128</v>
      </c>
      <c r="D107" t="s">
        <v>158</v>
      </c>
      <c r="E107" t="s">
        <v>3</v>
      </c>
      <c r="F107">
        <v>1</v>
      </c>
      <c r="G107" t="s">
        <v>63</v>
      </c>
      <c r="H107" t="s">
        <v>181</v>
      </c>
      <c r="I107" t="s">
        <v>182</v>
      </c>
      <c r="J107">
        <v>120</v>
      </c>
      <c r="K107" t="s">
        <v>183</v>
      </c>
      <c r="L107">
        <v>10885</v>
      </c>
      <c r="M107" t="s">
        <v>192</v>
      </c>
      <c r="N107" s="2">
        <v>45620</v>
      </c>
      <c r="O107" s="2">
        <v>45631</v>
      </c>
      <c r="P107" s="2">
        <v>45636</v>
      </c>
      <c r="Q10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07" s="4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107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07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7" t="s">
        <v>143</v>
      </c>
      <c r="W10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7" t="s">
        <v>89</v>
      </c>
    </row>
    <row r="108" spans="1:24" ht="20.100000000000001" customHeight="1" x14ac:dyDescent="0.3">
      <c r="A108" t="s">
        <v>15</v>
      </c>
      <c r="B108" t="s">
        <v>149</v>
      </c>
      <c r="C108" t="s">
        <v>160</v>
      </c>
      <c r="D108" t="s">
        <v>158</v>
      </c>
      <c r="E108" t="s">
        <v>16</v>
      </c>
      <c r="F108">
        <v>1</v>
      </c>
      <c r="G108" t="s">
        <v>71</v>
      </c>
      <c r="H108"/>
      <c r="I108"/>
      <c r="J108"/>
      <c r="K108"/>
      <c r="L108">
        <v>6000</v>
      </c>
      <c r="M108" t="s">
        <v>192</v>
      </c>
      <c r="N108" s="2">
        <v>45615</v>
      </c>
      <c r="O108" s="2">
        <v>45631</v>
      </c>
      <c r="P108" s="2">
        <v>45616</v>
      </c>
      <c r="Q10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08" s="4">
        <f>IF(OR(ISBLANK(MISUO[[#This Row],[تاريخ التسليم الفعلي]]), ISBLANK(MISUO[[#This Row],[تاريخ الطلب]])), "", MISUO[[#This Row],[تاريخ التسليم الفعلي]]-MISUO[[#This Row],[تاريخ الطلب]])</f>
        <v>1</v>
      </c>
      <c r="S108" s="4">
        <f>IFERROR(IF(OR(ISBLANK(MISUO[[#This Row],[المدة الفعلية]]), ISBLANK(MISUO[[#This Row],[المدة المتوقعة]])), "", MISUO[[#This Row],[المدة الفعلية]]-MISUO[[#This Row],[المدة المتوقعة]]), "")</f>
        <v>-15</v>
      </c>
      <c r="T10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8" t="s">
        <v>144</v>
      </c>
      <c r="W10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8" t="s">
        <v>89</v>
      </c>
    </row>
    <row r="109" spans="1:24" ht="20.100000000000001" customHeight="1" x14ac:dyDescent="0.3">
      <c r="A109" t="s">
        <v>129</v>
      </c>
      <c r="B109" t="s">
        <v>148</v>
      </c>
      <c r="C109" t="s">
        <v>172</v>
      </c>
      <c r="D109" t="s">
        <v>166</v>
      </c>
      <c r="E109" t="s">
        <v>3</v>
      </c>
      <c r="F109">
        <v>1</v>
      </c>
      <c r="G109" t="s">
        <v>184</v>
      </c>
      <c r="H109" t="s">
        <v>187</v>
      </c>
      <c r="I109"/>
      <c r="J109"/>
      <c r="K109"/>
      <c r="L109">
        <v>8449</v>
      </c>
      <c r="M109" t="s">
        <v>6</v>
      </c>
      <c r="N109" s="2">
        <v>45623</v>
      </c>
      <c r="O109" s="2">
        <v>45636</v>
      </c>
      <c r="P109" s="2">
        <v>45649</v>
      </c>
      <c r="Q10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9" s="4">
        <f>IF(OR(ISBLANK(MISUO[[#This Row],[تاريخ التسليم الفعلي]]), ISBLANK(MISUO[[#This Row],[تاريخ الطلب]])), "", MISUO[[#This Row],[تاريخ التسليم الفعلي]]-MISUO[[#This Row],[تاريخ الطلب]])</f>
        <v>26</v>
      </c>
      <c r="S109" s="4">
        <f>IFERROR(IF(OR(ISBLANK(MISUO[[#This Row],[المدة الفعلية]]), ISBLANK(MISUO[[#This Row],[المدة المتوقعة]])), "", MISUO[[#This Row],[المدة الفعلية]]-MISUO[[#This Row],[المدة المتوقعة]]), "")</f>
        <v>13</v>
      </c>
      <c r="T109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9" t="s">
        <v>202</v>
      </c>
      <c r="W10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109" t="s">
        <v>89</v>
      </c>
    </row>
    <row r="110" spans="1:24" ht="20.100000000000001" customHeight="1" x14ac:dyDescent="0.3">
      <c r="A110" t="s">
        <v>130</v>
      </c>
      <c r="B110" t="s">
        <v>148</v>
      </c>
      <c r="C110" t="s">
        <v>175</v>
      </c>
      <c r="D110" t="s">
        <v>158</v>
      </c>
      <c r="E110" t="s">
        <v>3</v>
      </c>
      <c r="F110">
        <v>1</v>
      </c>
      <c r="G110" t="s">
        <v>184</v>
      </c>
      <c r="H110" t="s">
        <v>73</v>
      </c>
      <c r="I110"/>
      <c r="J110"/>
      <c r="K110" t="s">
        <v>74</v>
      </c>
      <c r="L110">
        <v>10249</v>
      </c>
      <c r="M110" t="s">
        <v>192</v>
      </c>
      <c r="N110" s="2">
        <v>45623</v>
      </c>
      <c r="O110" s="2">
        <v>45636</v>
      </c>
      <c r="P110" s="2">
        <v>45645</v>
      </c>
      <c r="Q11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10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110" s="4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110" s="4" t="str">
        <f>IF(MISUO[[#This Row],[الفرق بين الفعلي والمتوقع]]&gt;3,"سيئة",IF(MISUO[[#This Row],[الفرق بين الفعلي والمتوقع]]&gt;=0,"مقبولة","ممتازة"))</f>
        <v>سيئة</v>
      </c>
      <c r="U11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0" t="s">
        <v>143</v>
      </c>
      <c r="W11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0" t="s">
        <v>89</v>
      </c>
    </row>
    <row r="111" spans="1:24" ht="20.100000000000001" customHeight="1" x14ac:dyDescent="0.3">
      <c r="A111" t="s">
        <v>132</v>
      </c>
      <c r="B111" t="s">
        <v>148</v>
      </c>
      <c r="C111" t="s">
        <v>173</v>
      </c>
      <c r="D111" t="s">
        <v>166</v>
      </c>
      <c r="E111" t="s">
        <v>3</v>
      </c>
      <c r="F111">
        <v>1</v>
      </c>
      <c r="G111" t="s">
        <v>63</v>
      </c>
      <c r="H111" t="s">
        <v>73</v>
      </c>
      <c r="I111" t="s">
        <v>68</v>
      </c>
      <c r="J111">
        <v>100</v>
      </c>
      <c r="K111" t="s">
        <v>75</v>
      </c>
      <c r="L111">
        <v>14905</v>
      </c>
      <c r="M111" t="s">
        <v>6</v>
      </c>
      <c r="N111" s="2">
        <v>45625</v>
      </c>
      <c r="O111" s="2">
        <v>45641</v>
      </c>
      <c r="P111" s="2"/>
      <c r="Q11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11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1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1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1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1" t="s">
        <v>13</v>
      </c>
      <c r="W11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1" t="s">
        <v>87</v>
      </c>
    </row>
    <row r="112" spans="1:24" ht="20.100000000000001" customHeight="1" x14ac:dyDescent="0.3">
      <c r="A112" t="s">
        <v>133</v>
      </c>
      <c r="B112" t="s">
        <v>148</v>
      </c>
      <c r="C112" t="s">
        <v>161</v>
      </c>
      <c r="D112" t="s">
        <v>158</v>
      </c>
      <c r="E112" t="s">
        <v>3</v>
      </c>
      <c r="F112">
        <v>1</v>
      </c>
      <c r="G112" t="s">
        <v>184</v>
      </c>
      <c r="H112" t="s">
        <v>131</v>
      </c>
      <c r="I112"/>
      <c r="J112"/>
      <c r="K112" t="s">
        <v>75</v>
      </c>
      <c r="L112">
        <v>10249</v>
      </c>
      <c r="M112" t="s">
        <v>6</v>
      </c>
      <c r="N112" s="2">
        <v>45626</v>
      </c>
      <c r="O112" s="2">
        <v>45638</v>
      </c>
      <c r="P112" s="2"/>
      <c r="Q11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2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2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2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2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2" t="s">
        <v>87</v>
      </c>
      <c r="W11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2" t="s">
        <v>87</v>
      </c>
    </row>
    <row r="113" spans="1:25" ht="20.100000000000001" customHeight="1" x14ac:dyDescent="0.3">
      <c r="A113" t="s">
        <v>134</v>
      </c>
      <c r="B113" t="s">
        <v>148</v>
      </c>
      <c r="C113" t="s">
        <v>161</v>
      </c>
      <c r="D113" t="s">
        <v>158</v>
      </c>
      <c r="E113" t="s">
        <v>3</v>
      </c>
      <c r="F113">
        <v>1</v>
      </c>
      <c r="G113" t="s">
        <v>184</v>
      </c>
      <c r="H113" t="s">
        <v>185</v>
      </c>
      <c r="I113"/>
      <c r="J113"/>
      <c r="K113" t="s">
        <v>75</v>
      </c>
      <c r="L113">
        <v>9029</v>
      </c>
      <c r="M113" t="s">
        <v>6</v>
      </c>
      <c r="N113" s="2">
        <v>45626</v>
      </c>
      <c r="O113" s="2">
        <v>45638</v>
      </c>
      <c r="P113" s="2"/>
      <c r="Q11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3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3" t="s">
        <v>87</v>
      </c>
      <c r="W11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3" t="s">
        <v>87</v>
      </c>
    </row>
    <row r="114" spans="1:25" ht="20.100000000000001" customHeight="1" x14ac:dyDescent="0.3">
      <c r="A114" t="s">
        <v>135</v>
      </c>
      <c r="B114" t="s">
        <v>148</v>
      </c>
      <c r="C114" t="s">
        <v>164</v>
      </c>
      <c r="D114" t="s">
        <v>95</v>
      </c>
      <c r="E114" t="s">
        <v>3</v>
      </c>
      <c r="F114">
        <v>1</v>
      </c>
      <c r="G114" t="s">
        <v>184</v>
      </c>
      <c r="H114" t="s">
        <v>73</v>
      </c>
      <c r="I114"/>
      <c r="J114"/>
      <c r="K114" t="s">
        <v>75</v>
      </c>
      <c r="L114">
        <v>9029</v>
      </c>
      <c r="M114" t="s">
        <v>6</v>
      </c>
      <c r="N114" s="2">
        <v>45626</v>
      </c>
      <c r="O114" s="2">
        <v>45638</v>
      </c>
      <c r="P114" s="2"/>
      <c r="Q11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4" s="4" t="str">
        <f>IF(MISUO[[#This Row],[الفرق بين الفعلي والمتوقع]]&gt;3,"سيئة",IF(MISUO[[#This Row],[الفرق بين الفعلي والمتوقع]]&gt;=0,"مقبولة","ممتازة"))</f>
        <v>سيئة</v>
      </c>
      <c r="U11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4" t="s">
        <v>145</v>
      </c>
      <c r="W114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14" t="s">
        <v>89</v>
      </c>
    </row>
    <row r="115" spans="1:25" ht="20.100000000000001" customHeight="1" x14ac:dyDescent="0.3">
      <c r="A115" t="s">
        <v>136</v>
      </c>
      <c r="B115" t="s">
        <v>148</v>
      </c>
      <c r="C115" t="s">
        <v>167</v>
      </c>
      <c r="D115" t="s">
        <v>158</v>
      </c>
      <c r="E115" t="s">
        <v>3</v>
      </c>
      <c r="F115">
        <v>1</v>
      </c>
      <c r="G115" t="s">
        <v>63</v>
      </c>
      <c r="H115" t="s">
        <v>119</v>
      </c>
      <c r="I115" t="s">
        <v>65</v>
      </c>
      <c r="J115">
        <v>80</v>
      </c>
      <c r="K115" t="s">
        <v>74</v>
      </c>
      <c r="L115">
        <v>12099</v>
      </c>
      <c r="M115" t="s">
        <v>6</v>
      </c>
      <c r="N115" s="2">
        <v>45628</v>
      </c>
      <c r="O115" s="2">
        <v>45643</v>
      </c>
      <c r="P115" s="2"/>
      <c r="Q11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115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5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5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5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5" t="s">
        <v>87</v>
      </c>
      <c r="W11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5" t="s">
        <v>87</v>
      </c>
    </row>
    <row r="116" spans="1:25" ht="20.100000000000001" customHeight="1" x14ac:dyDescent="0.3">
      <c r="A116" t="s">
        <v>30</v>
      </c>
      <c r="B116" t="s">
        <v>149</v>
      </c>
      <c r="C116" t="s">
        <v>179</v>
      </c>
      <c r="D116" t="s">
        <v>152</v>
      </c>
      <c r="E116" t="s">
        <v>146</v>
      </c>
      <c r="F116">
        <v>1</v>
      </c>
      <c r="G116" t="s">
        <v>63</v>
      </c>
      <c r="H116" t="s">
        <v>73</v>
      </c>
      <c r="I116" t="s">
        <v>122</v>
      </c>
      <c r="J116">
        <v>90</v>
      </c>
      <c r="K116" t="s">
        <v>77</v>
      </c>
      <c r="L116">
        <v>5217</v>
      </c>
      <c r="M116" t="s">
        <v>31</v>
      </c>
      <c r="N116" s="2">
        <v>45627</v>
      </c>
      <c r="O116" s="2">
        <v>45640</v>
      </c>
      <c r="P116" s="2">
        <v>45636</v>
      </c>
      <c r="Q11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16" s="4">
        <f>IF(OR(ISBLANK(MISUO[[#This Row],[تاريخ التسليم الفعلي]]), ISBLANK(MISUO[[#This Row],[تاريخ الطلب]])), "", MISUO[[#This Row],[تاريخ التسليم الفعلي]]-MISUO[[#This Row],[تاريخ الطلب]])</f>
        <v>9</v>
      </c>
      <c r="S116" s="4">
        <f>IFERROR(IF(OR(ISBLANK(MISUO[[#This Row],[المدة الفعلية]]), ISBLANK(MISUO[[#This Row],[المدة المتوقعة]])), "", MISUO[[#This Row],[المدة الفعلية]]-MISUO[[#This Row],[المدة المتوقعة]]), "")</f>
        <v>-4</v>
      </c>
      <c r="T11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1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6" t="s">
        <v>143</v>
      </c>
      <c r="W11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6" t="s">
        <v>89</v>
      </c>
    </row>
    <row r="117" spans="1:25" ht="20.100000000000001" customHeight="1" x14ac:dyDescent="0.3">
      <c r="A117" t="s">
        <v>137</v>
      </c>
      <c r="B117" t="s">
        <v>148</v>
      </c>
      <c r="C117" t="s">
        <v>57</v>
      </c>
      <c r="D117" t="s">
        <v>163</v>
      </c>
      <c r="E117" t="s">
        <v>3</v>
      </c>
      <c r="F117">
        <v>1</v>
      </c>
      <c r="G117" t="s">
        <v>63</v>
      </c>
      <c r="H117" t="s">
        <v>64</v>
      </c>
      <c r="I117"/>
      <c r="J117"/>
      <c r="K117" t="s">
        <v>75</v>
      </c>
      <c r="L117">
        <v>10249</v>
      </c>
      <c r="M117" t="s">
        <v>192</v>
      </c>
      <c r="N117" s="2">
        <v>45630</v>
      </c>
      <c r="O117" s="2">
        <v>45640</v>
      </c>
      <c r="P117" s="2">
        <v>45645</v>
      </c>
      <c r="Q11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17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17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17" s="4" t="str">
        <f>IF(MISUO[[#This Row],[الفرق بين الفعلي والمتوقع]]&gt;3,"سيئة",IF(MISUO[[#This Row],[الفرق بين الفعلي والمتوقع]]&gt;=0,"مقبولة","ممتازة"))</f>
        <v>سيئة</v>
      </c>
      <c r="U11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7" t="s">
        <v>143</v>
      </c>
      <c r="W11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7" t="s">
        <v>89</v>
      </c>
    </row>
    <row r="118" spans="1:25" ht="20.100000000000001" customHeight="1" x14ac:dyDescent="0.3">
      <c r="A118" t="s">
        <v>138</v>
      </c>
      <c r="B118" t="s">
        <v>148</v>
      </c>
      <c r="C118" t="s">
        <v>161</v>
      </c>
      <c r="D118" t="s">
        <v>158</v>
      </c>
      <c r="E118" t="s">
        <v>11</v>
      </c>
      <c r="F118">
        <v>1</v>
      </c>
      <c r="G118" t="s">
        <v>63</v>
      </c>
      <c r="H118" t="s">
        <v>73</v>
      </c>
      <c r="I118" t="s">
        <v>67</v>
      </c>
      <c r="J118"/>
      <c r="K118" t="s">
        <v>75</v>
      </c>
      <c r="L118">
        <v>10445</v>
      </c>
      <c r="M118" t="s">
        <v>192</v>
      </c>
      <c r="N118" s="2">
        <v>45635</v>
      </c>
      <c r="O118" s="2">
        <v>45657</v>
      </c>
      <c r="P118" s="2">
        <v>45638</v>
      </c>
      <c r="Q11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118" s="4">
        <f>IF(OR(ISBLANK(MISUO[[#This Row],[تاريخ التسليم الفعلي]]), ISBLANK(MISUO[[#This Row],[تاريخ الطلب]])), "", MISUO[[#This Row],[تاريخ التسليم الفعلي]]-MISUO[[#This Row],[تاريخ الطلب]])</f>
        <v>3</v>
      </c>
      <c r="S118" s="4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11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1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8" t="s">
        <v>143</v>
      </c>
      <c r="W11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8" t="s">
        <v>89</v>
      </c>
    </row>
    <row r="119" spans="1:25" ht="20.100000000000001" customHeight="1" x14ac:dyDescent="0.3">
      <c r="A119" t="s">
        <v>139</v>
      </c>
      <c r="B119" t="s">
        <v>148</v>
      </c>
      <c r="C119" t="s">
        <v>161</v>
      </c>
      <c r="D119" t="s">
        <v>158</v>
      </c>
      <c r="E119" t="s">
        <v>3</v>
      </c>
      <c r="F119">
        <v>1</v>
      </c>
      <c r="G119" t="s">
        <v>184</v>
      </c>
      <c r="H119" t="s">
        <v>73</v>
      </c>
      <c r="I119"/>
      <c r="J119"/>
      <c r="K119" t="s">
        <v>75</v>
      </c>
      <c r="L119">
        <v>11257</v>
      </c>
      <c r="M119" t="s">
        <v>192</v>
      </c>
      <c r="N119" s="2">
        <v>45638</v>
      </c>
      <c r="O119" s="2">
        <v>45650</v>
      </c>
      <c r="P119" s="2">
        <v>45645</v>
      </c>
      <c r="Q11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9" s="4">
        <f>IF(OR(ISBLANK(MISUO[[#This Row],[تاريخ التسليم الفعلي]]), ISBLANK(MISUO[[#This Row],[تاريخ الطلب]])), "", MISUO[[#This Row],[تاريخ التسليم الفعلي]]-MISUO[[#This Row],[تاريخ الطلب]])</f>
        <v>7</v>
      </c>
      <c r="S119" s="4">
        <f>IFERROR(IF(OR(ISBLANK(MISUO[[#This Row],[المدة الفعلية]]), ISBLANK(MISUO[[#This Row],[المدة المتوقعة]])), "", MISUO[[#This Row],[المدة الفعلية]]-MISUO[[#This Row],[المدة المتوقعة]]), "")</f>
        <v>-5</v>
      </c>
      <c r="T11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1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9" t="s">
        <v>143</v>
      </c>
      <c r="W11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9" t="s">
        <v>89</v>
      </c>
    </row>
    <row r="120" spans="1:25" ht="20.100000000000001" customHeight="1" x14ac:dyDescent="0.3">
      <c r="A120" t="s">
        <v>140</v>
      </c>
      <c r="B120" t="s">
        <v>148</v>
      </c>
      <c r="C120" t="s">
        <v>159</v>
      </c>
      <c r="D120" t="s">
        <v>152</v>
      </c>
      <c r="E120" t="s">
        <v>3</v>
      </c>
      <c r="F120">
        <v>1</v>
      </c>
      <c r="G120" t="s">
        <v>63</v>
      </c>
      <c r="H120" t="s">
        <v>73</v>
      </c>
      <c r="I120" t="s">
        <v>65</v>
      </c>
      <c r="J120">
        <v>80</v>
      </c>
      <c r="K120" t="s">
        <v>75</v>
      </c>
      <c r="L120">
        <v>13231</v>
      </c>
      <c r="M120" t="s">
        <v>192</v>
      </c>
      <c r="N120" s="2">
        <v>45638</v>
      </c>
      <c r="O120" s="2">
        <v>45654</v>
      </c>
      <c r="P120" s="2">
        <v>45655</v>
      </c>
      <c r="Q12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20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120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120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2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20" t="s">
        <v>143</v>
      </c>
      <c r="W12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0" t="s">
        <v>89</v>
      </c>
    </row>
    <row r="121" spans="1:25" ht="20.100000000000001" customHeight="1" x14ac:dyDescent="0.3">
      <c r="A121" t="s">
        <v>18</v>
      </c>
      <c r="B121" t="s">
        <v>149</v>
      </c>
      <c r="C121" t="s">
        <v>178</v>
      </c>
      <c r="D121" t="s">
        <v>178</v>
      </c>
      <c r="E121" t="s">
        <v>11</v>
      </c>
      <c r="F121">
        <v>1</v>
      </c>
      <c r="G121" t="s">
        <v>71</v>
      </c>
      <c r="H121" t="s">
        <v>72</v>
      </c>
      <c r="I121" t="s">
        <v>113</v>
      </c>
      <c r="J121"/>
      <c r="K121" t="s">
        <v>75</v>
      </c>
      <c r="L121">
        <v>8700</v>
      </c>
      <c r="M121" t="s">
        <v>31</v>
      </c>
      <c r="N121" s="2">
        <v>45640</v>
      </c>
      <c r="O121" s="2">
        <v>45662</v>
      </c>
      <c r="P121" s="2">
        <v>45655</v>
      </c>
      <c r="Q12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121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21" s="4">
        <f>IFERROR(IF(OR(ISBLANK(MISUO[[#This Row],[المدة الفعلية]]), ISBLANK(MISUO[[#This Row],[المدة المتوقعة]])), "", MISUO[[#This Row],[المدة الفعلية]]-MISUO[[#This Row],[المدة المتوقعة]]), "")</f>
        <v>-7</v>
      </c>
      <c r="T12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2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21" t="s">
        <v>143</v>
      </c>
      <c r="W12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1" t="s">
        <v>89</v>
      </c>
    </row>
    <row r="122" spans="1:25" ht="20.100000000000001" customHeight="1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 s="2"/>
      <c r="O122" s="2"/>
      <c r="P122" s="2"/>
      <c r="Q122" s="4"/>
      <c r="R122" s="4"/>
      <c r="S122" s="4"/>
      <c r="T122" s="4"/>
      <c r="U122" s="4"/>
      <c r="V122"/>
      <c r="W122"/>
    </row>
    <row r="123" spans="1:25" ht="20.100000000000001" customHeight="1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 s="2"/>
      <c r="O123" s="2"/>
      <c r="P123" s="2"/>
      <c r="Q123" s="4"/>
      <c r="R123" s="4"/>
      <c r="S123" s="4"/>
      <c r="T123" s="4"/>
      <c r="U123" s="4"/>
      <c r="V123"/>
      <c r="W123"/>
    </row>
    <row r="124" spans="1:25" ht="20.100000000000001" customHeight="1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 s="2"/>
      <c r="O124" s="2"/>
      <c r="P124" s="2"/>
      <c r="Q124" s="4"/>
      <c r="R124" s="4"/>
      <c r="S124" s="4"/>
      <c r="T124" s="4"/>
      <c r="U124" s="4"/>
      <c r="V124"/>
      <c r="W124"/>
    </row>
    <row r="125" spans="1:25" ht="20.100000000000001" customHeight="1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 s="2"/>
      <c r="O125" s="2"/>
      <c r="P125" s="2"/>
      <c r="Q125" s="4"/>
      <c r="R125" s="4"/>
      <c r="S125" s="4"/>
      <c r="T125" s="4"/>
      <c r="U125" s="4"/>
      <c r="V125"/>
      <c r="W125"/>
    </row>
    <row r="126" spans="1:25" ht="20.100000000000001" customHeight="1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 s="2"/>
      <c r="O126" s="2"/>
      <c r="P126" s="2"/>
      <c r="Q126" s="4"/>
      <c r="R126" s="4"/>
      <c r="S126" s="4"/>
      <c r="T126" s="4"/>
      <c r="U126" s="4"/>
      <c r="V126"/>
      <c r="W126"/>
    </row>
    <row r="127" spans="1:25" ht="20.100000000000001" customHeight="1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 s="2"/>
      <c r="O127" s="2"/>
      <c r="P127" s="2"/>
      <c r="Q127" s="4"/>
      <c r="R127" s="4"/>
      <c r="S127" s="4"/>
      <c r="T127" s="4"/>
      <c r="U127" s="4"/>
      <c r="V127"/>
      <c r="W127"/>
    </row>
    <row r="128" spans="1:25" ht="20.100000000000001" customHeight="1" x14ac:dyDescent="0.3">
      <c r="X128" s="1"/>
      <c r="Y128" s="1"/>
    </row>
    <row r="129" spans="24:25" ht="20.100000000000001" customHeight="1" x14ac:dyDescent="0.3">
      <c r="X129" s="1"/>
      <c r="Y129" s="1"/>
    </row>
    <row r="130" spans="24:25" ht="20.100000000000001" customHeight="1" x14ac:dyDescent="0.3">
      <c r="X130" s="1"/>
      <c r="Y130" s="1"/>
    </row>
    <row r="131" spans="24:25" ht="20.100000000000001" customHeight="1" x14ac:dyDescent="0.3">
      <c r="X131" s="1"/>
      <c r="Y131" s="1"/>
    </row>
    <row r="132" spans="24:25" ht="20.100000000000001" customHeight="1" x14ac:dyDescent="0.3">
      <c r="X132" s="1"/>
      <c r="Y132" s="1"/>
    </row>
    <row r="133" spans="24:25" ht="20.100000000000001" customHeight="1" x14ac:dyDescent="0.3">
      <c r="X133" s="1"/>
      <c r="Y133" s="1"/>
    </row>
    <row r="134" spans="24:25" ht="20.100000000000001" customHeight="1" x14ac:dyDescent="0.3">
      <c r="X134" s="1"/>
      <c r="Y134" s="1"/>
    </row>
    <row r="135" spans="24:25" ht="20.100000000000001" customHeight="1" x14ac:dyDescent="0.3">
      <c r="X135" s="1"/>
      <c r="Y135" s="1"/>
    </row>
    <row r="136" spans="24:25" ht="20.100000000000001" customHeight="1" x14ac:dyDescent="0.3">
      <c r="X136" s="1"/>
      <c r="Y136" s="1"/>
    </row>
    <row r="137" spans="24:25" ht="20.100000000000001" customHeight="1" x14ac:dyDescent="0.3">
      <c r="X137" s="1"/>
      <c r="Y137" s="1"/>
    </row>
    <row r="138" spans="24:25" ht="20.100000000000001" customHeight="1" x14ac:dyDescent="0.3">
      <c r="X138" s="1"/>
      <c r="Y138" s="1"/>
    </row>
    <row r="139" spans="24:25" ht="20.100000000000001" customHeight="1" x14ac:dyDescent="0.3">
      <c r="X139" s="1"/>
      <c r="Y139" s="1"/>
    </row>
    <row r="140" spans="24:25" ht="20.100000000000001" customHeight="1" x14ac:dyDescent="0.3">
      <c r="X140" s="1"/>
      <c r="Y140" s="1"/>
    </row>
    <row r="141" spans="24:25" ht="20.100000000000001" customHeight="1" x14ac:dyDescent="0.3">
      <c r="X141" s="1"/>
      <c r="Y141" s="1"/>
    </row>
    <row r="142" spans="24:25" ht="20.100000000000001" customHeight="1" x14ac:dyDescent="0.3">
      <c r="X142" s="1"/>
      <c r="Y142" s="1"/>
    </row>
    <row r="143" spans="24:25" ht="20.100000000000001" customHeight="1" x14ac:dyDescent="0.3">
      <c r="X143" s="1"/>
      <c r="Y143" s="1"/>
    </row>
    <row r="144" spans="24:25" ht="20.100000000000001" customHeight="1" x14ac:dyDescent="0.3">
      <c r="X144" s="1"/>
      <c r="Y144" s="1"/>
    </row>
    <row r="145" spans="24:25" ht="20.100000000000001" customHeight="1" x14ac:dyDescent="0.3">
      <c r="X145" s="1"/>
      <c r="Y145" s="1"/>
    </row>
    <row r="146" spans="24:25" ht="20.100000000000001" customHeight="1" x14ac:dyDescent="0.3">
      <c r="X146" s="1"/>
      <c r="Y146" s="1"/>
    </row>
    <row r="147" spans="24:25" ht="20.100000000000001" customHeight="1" x14ac:dyDescent="0.3">
      <c r="X147" s="1"/>
      <c r="Y147" s="1"/>
    </row>
    <row r="148" spans="24:25" ht="20.100000000000001" customHeight="1" x14ac:dyDescent="0.3">
      <c r="X148" s="1"/>
      <c r="Y148" s="1"/>
    </row>
    <row r="149" spans="24:25" ht="20.100000000000001" customHeight="1" x14ac:dyDescent="0.3">
      <c r="X149" s="1"/>
      <c r="Y149" s="1"/>
    </row>
    <row r="150" spans="24:25" ht="20.100000000000001" customHeight="1" x14ac:dyDescent="0.3">
      <c r="X150" s="1"/>
      <c r="Y150" s="1"/>
    </row>
    <row r="151" spans="24:25" ht="20.100000000000001" customHeight="1" x14ac:dyDescent="0.3">
      <c r="X151" s="1"/>
      <c r="Y151" s="1"/>
    </row>
    <row r="152" spans="24:25" ht="20.100000000000001" customHeight="1" x14ac:dyDescent="0.3">
      <c r="X152" s="1"/>
      <c r="Y152" s="1"/>
    </row>
    <row r="153" spans="24:25" ht="20.100000000000001" customHeight="1" x14ac:dyDescent="0.3">
      <c r="X153" s="1"/>
      <c r="Y153" s="1"/>
    </row>
    <row r="154" spans="24:25" ht="20.100000000000001" customHeight="1" x14ac:dyDescent="0.3">
      <c r="X154" s="1"/>
      <c r="Y154" s="1"/>
    </row>
    <row r="155" spans="24:25" ht="20.100000000000001" customHeight="1" x14ac:dyDescent="0.3">
      <c r="X155" s="1"/>
      <c r="Y155" s="1"/>
    </row>
    <row r="156" spans="24:25" ht="20.100000000000001" customHeight="1" x14ac:dyDescent="0.3">
      <c r="X156" s="1"/>
      <c r="Y156" s="1"/>
    </row>
    <row r="157" spans="24:25" ht="20.100000000000001" customHeight="1" x14ac:dyDescent="0.3">
      <c r="X157" s="1"/>
      <c r="Y157" s="1"/>
    </row>
    <row r="158" spans="24:25" ht="20.100000000000001" customHeight="1" x14ac:dyDescent="0.3">
      <c r="X158" s="1"/>
      <c r="Y158" s="1"/>
    </row>
    <row r="159" spans="24:25" ht="20.100000000000001" customHeight="1" x14ac:dyDescent="0.3">
      <c r="X159" s="1"/>
      <c r="Y159" s="1"/>
    </row>
    <row r="160" spans="24:25" ht="20.100000000000001" customHeight="1" x14ac:dyDescent="0.3">
      <c r="X160" s="1"/>
      <c r="Y160" s="1"/>
    </row>
    <row r="161" spans="24:25" ht="20.100000000000001" customHeight="1" x14ac:dyDescent="0.3">
      <c r="X161" s="1"/>
      <c r="Y161" s="1"/>
    </row>
    <row r="162" spans="24:25" ht="20.100000000000001" customHeight="1" x14ac:dyDescent="0.3">
      <c r="X162" s="1"/>
      <c r="Y162" s="1"/>
    </row>
    <row r="163" spans="24:25" ht="20.100000000000001" customHeight="1" x14ac:dyDescent="0.3">
      <c r="X163" s="1"/>
      <c r="Y163" s="1"/>
    </row>
    <row r="164" spans="24:25" ht="20.100000000000001" customHeight="1" x14ac:dyDescent="0.3">
      <c r="X164" s="1"/>
      <c r="Y164" s="1"/>
    </row>
    <row r="165" spans="24:25" ht="20.100000000000001" customHeight="1" x14ac:dyDescent="0.3">
      <c r="X165" s="1"/>
      <c r="Y165" s="1"/>
    </row>
    <row r="166" spans="24:25" ht="20.100000000000001" customHeight="1" x14ac:dyDescent="0.3">
      <c r="X166" s="1"/>
      <c r="Y166" s="1"/>
    </row>
    <row r="167" spans="24:25" ht="20.100000000000001" customHeight="1" x14ac:dyDescent="0.3">
      <c r="X167" s="1"/>
      <c r="Y167" s="1"/>
    </row>
    <row r="168" spans="24:25" ht="20.100000000000001" customHeight="1" x14ac:dyDescent="0.3">
      <c r="X168" s="1"/>
      <c r="Y168" s="1"/>
    </row>
    <row r="169" spans="24:25" ht="20.100000000000001" customHeight="1" x14ac:dyDescent="0.3">
      <c r="X169" s="1"/>
      <c r="Y169" s="1"/>
    </row>
    <row r="170" spans="24:25" ht="20.100000000000001" customHeight="1" x14ac:dyDescent="0.3">
      <c r="X170" s="1"/>
      <c r="Y170" s="1"/>
    </row>
    <row r="171" spans="24:25" ht="20.100000000000001" customHeight="1" x14ac:dyDescent="0.3">
      <c r="X171" s="1"/>
      <c r="Y171" s="1"/>
    </row>
    <row r="172" spans="24:25" ht="20.100000000000001" customHeight="1" x14ac:dyDescent="0.3">
      <c r="X172" s="1"/>
      <c r="Y172" s="1"/>
    </row>
    <row r="173" spans="24:25" ht="20.100000000000001" customHeight="1" x14ac:dyDescent="0.3">
      <c r="X173" s="1"/>
      <c r="Y173" s="1"/>
    </row>
    <row r="174" spans="24:25" ht="20.100000000000001" customHeight="1" x14ac:dyDescent="0.3">
      <c r="X174" s="1"/>
      <c r="Y174" s="1"/>
    </row>
    <row r="175" spans="24:25" ht="20.100000000000001" customHeight="1" x14ac:dyDescent="0.3">
      <c r="X175" s="1"/>
      <c r="Y175" s="1"/>
    </row>
    <row r="176" spans="24:25" ht="20.100000000000001" customHeight="1" x14ac:dyDescent="0.3">
      <c r="X176" s="1"/>
      <c r="Y176" s="1"/>
    </row>
    <row r="177" spans="24:25" ht="20.100000000000001" customHeight="1" x14ac:dyDescent="0.3">
      <c r="X177" s="1"/>
      <c r="Y177" s="1"/>
    </row>
    <row r="178" spans="24:25" ht="20.100000000000001" customHeight="1" x14ac:dyDescent="0.3">
      <c r="X178" s="1"/>
      <c r="Y178" s="1"/>
    </row>
    <row r="179" spans="24:25" ht="20.100000000000001" customHeight="1" x14ac:dyDescent="0.3">
      <c r="X179" s="1"/>
      <c r="Y179" s="1"/>
    </row>
    <row r="180" spans="24:25" ht="20.100000000000001" customHeight="1" x14ac:dyDescent="0.3">
      <c r="X180" s="1"/>
      <c r="Y180" s="1"/>
    </row>
    <row r="181" spans="24:25" ht="20.100000000000001" customHeight="1" x14ac:dyDescent="0.3">
      <c r="X181" s="1"/>
      <c r="Y181" s="1"/>
    </row>
    <row r="182" spans="24:25" ht="20.100000000000001" customHeight="1" x14ac:dyDescent="0.3">
      <c r="X182" s="1"/>
      <c r="Y182" s="1"/>
    </row>
    <row r="183" spans="24:25" ht="20.100000000000001" customHeight="1" x14ac:dyDescent="0.3">
      <c r="X183" s="1"/>
      <c r="Y183" s="1"/>
    </row>
    <row r="184" spans="24:25" ht="20.100000000000001" customHeight="1" x14ac:dyDescent="0.3">
      <c r="X184" s="1"/>
      <c r="Y184" s="1"/>
    </row>
    <row r="185" spans="24:25" ht="20.100000000000001" customHeight="1" x14ac:dyDescent="0.3">
      <c r="X185" s="1"/>
      <c r="Y185" s="1"/>
    </row>
    <row r="186" spans="24:25" ht="20.100000000000001" customHeight="1" x14ac:dyDescent="0.3">
      <c r="X186" s="1"/>
      <c r="Y186" s="1"/>
    </row>
    <row r="187" spans="24:25" ht="20.100000000000001" customHeight="1" x14ac:dyDescent="0.3">
      <c r="X187" s="1"/>
      <c r="Y187" s="1"/>
    </row>
    <row r="188" spans="24:25" ht="20.100000000000001" customHeight="1" x14ac:dyDescent="0.3">
      <c r="X188" s="1"/>
      <c r="Y188" s="1"/>
    </row>
    <row r="189" spans="24:25" ht="20.100000000000001" customHeight="1" x14ac:dyDescent="0.3">
      <c r="X189" s="1"/>
      <c r="Y189" s="1"/>
    </row>
    <row r="190" spans="24:25" ht="20.100000000000001" customHeight="1" x14ac:dyDescent="0.3">
      <c r="X190" s="1"/>
      <c r="Y190" s="1"/>
    </row>
    <row r="191" spans="24:25" ht="20.100000000000001" customHeight="1" x14ac:dyDescent="0.3">
      <c r="X191" s="1"/>
      <c r="Y191" s="1"/>
    </row>
    <row r="192" spans="24:25" ht="20.100000000000001" customHeight="1" x14ac:dyDescent="0.3">
      <c r="X192" s="1"/>
      <c r="Y192" s="1"/>
    </row>
    <row r="193" spans="24:25" ht="20.100000000000001" customHeight="1" x14ac:dyDescent="0.3">
      <c r="X193" s="1"/>
      <c r="Y193" s="1"/>
    </row>
    <row r="194" spans="24:25" ht="20.100000000000001" customHeight="1" x14ac:dyDescent="0.3">
      <c r="X194" s="1"/>
      <c r="Y194" s="1"/>
    </row>
    <row r="195" spans="24:25" ht="20.100000000000001" customHeight="1" x14ac:dyDescent="0.3">
      <c r="X195" s="1"/>
      <c r="Y195" s="1"/>
    </row>
    <row r="196" spans="24:25" ht="20.100000000000001" customHeight="1" x14ac:dyDescent="0.3">
      <c r="X196" s="1"/>
      <c r="Y196" s="1"/>
    </row>
    <row r="197" spans="24:25" ht="20.100000000000001" customHeight="1" x14ac:dyDescent="0.3">
      <c r="X197" s="1"/>
      <c r="Y197" s="1"/>
    </row>
    <row r="198" spans="24:25" ht="20.100000000000001" customHeight="1" x14ac:dyDescent="0.3">
      <c r="X198" s="1"/>
      <c r="Y198" s="1"/>
    </row>
    <row r="199" spans="24:25" ht="20.100000000000001" customHeight="1" x14ac:dyDescent="0.3">
      <c r="X199" s="1"/>
      <c r="Y199" s="1"/>
    </row>
    <row r="200" spans="24:25" ht="20.100000000000001" customHeight="1" x14ac:dyDescent="0.3">
      <c r="X200" s="1"/>
      <c r="Y200" s="1"/>
    </row>
    <row r="201" spans="24:25" ht="20.100000000000001" customHeight="1" x14ac:dyDescent="0.3">
      <c r="X201" s="1"/>
      <c r="Y201" s="1"/>
    </row>
    <row r="202" spans="24:25" ht="20.100000000000001" customHeight="1" x14ac:dyDescent="0.3">
      <c r="X202" s="1"/>
      <c r="Y202" s="1"/>
    </row>
    <row r="203" spans="24:25" ht="20.100000000000001" customHeight="1" x14ac:dyDescent="0.3">
      <c r="X203" s="1"/>
      <c r="Y203" s="1"/>
    </row>
    <row r="204" spans="24:25" ht="20.100000000000001" customHeight="1" x14ac:dyDescent="0.3">
      <c r="X204" s="1"/>
      <c r="Y204" s="1"/>
    </row>
    <row r="205" spans="24:25" ht="20.100000000000001" customHeight="1" x14ac:dyDescent="0.3">
      <c r="X205" s="1"/>
      <c r="Y205" s="1"/>
    </row>
    <row r="206" spans="24:25" ht="20.100000000000001" customHeight="1" x14ac:dyDescent="0.3">
      <c r="X206" s="1"/>
      <c r="Y206" s="1"/>
    </row>
    <row r="207" spans="24:25" ht="20.100000000000001" customHeight="1" x14ac:dyDescent="0.3">
      <c r="X207" s="1"/>
      <c r="Y207" s="1"/>
    </row>
    <row r="208" spans="24:25" ht="20.100000000000001" customHeight="1" x14ac:dyDescent="0.3">
      <c r="X208" s="1"/>
      <c r="Y208" s="1"/>
    </row>
    <row r="209" spans="24:25" ht="20.100000000000001" customHeight="1" x14ac:dyDescent="0.3">
      <c r="X209" s="1"/>
      <c r="Y209" s="1"/>
    </row>
    <row r="210" spans="24:25" ht="20.100000000000001" customHeight="1" x14ac:dyDescent="0.3">
      <c r="X210" s="1"/>
      <c r="Y210" s="1"/>
    </row>
    <row r="211" spans="24:25" ht="20.100000000000001" customHeight="1" x14ac:dyDescent="0.3">
      <c r="X211" s="1"/>
      <c r="Y211" s="1"/>
    </row>
    <row r="212" spans="24:25" ht="20.100000000000001" customHeight="1" x14ac:dyDescent="0.3">
      <c r="X212" s="1"/>
      <c r="Y212" s="1"/>
    </row>
    <row r="213" spans="24:25" ht="20.100000000000001" customHeight="1" x14ac:dyDescent="0.3">
      <c r="X213" s="1"/>
      <c r="Y213" s="1"/>
    </row>
    <row r="214" spans="24:25" ht="20.100000000000001" customHeight="1" x14ac:dyDescent="0.3">
      <c r="X214" s="1"/>
      <c r="Y214" s="1"/>
    </row>
    <row r="215" spans="24:25" ht="20.100000000000001" customHeight="1" x14ac:dyDescent="0.3">
      <c r="X215" s="1"/>
      <c r="Y215" s="1"/>
    </row>
    <row r="216" spans="24:25" ht="20.100000000000001" customHeight="1" x14ac:dyDescent="0.3">
      <c r="X216" s="1"/>
      <c r="Y216" s="1"/>
    </row>
    <row r="217" spans="24:25" ht="20.100000000000001" customHeight="1" x14ac:dyDescent="0.3">
      <c r="X217" s="1"/>
      <c r="Y217" s="1"/>
    </row>
    <row r="218" spans="24:25" ht="20.100000000000001" customHeight="1" x14ac:dyDescent="0.3">
      <c r="X218" s="1"/>
      <c r="Y218" s="1"/>
    </row>
    <row r="219" spans="24:25" ht="20.100000000000001" customHeight="1" x14ac:dyDescent="0.3">
      <c r="X219" s="1"/>
      <c r="Y219" s="1"/>
    </row>
    <row r="220" spans="24:25" ht="20.100000000000001" customHeight="1" x14ac:dyDescent="0.3">
      <c r="X220" s="1"/>
      <c r="Y220" s="1"/>
    </row>
    <row r="221" spans="24:25" ht="20.100000000000001" customHeight="1" x14ac:dyDescent="0.3">
      <c r="X221" s="1"/>
      <c r="Y221" s="1"/>
    </row>
    <row r="222" spans="24:25" ht="20.100000000000001" customHeight="1" x14ac:dyDescent="0.3">
      <c r="X222" s="1"/>
      <c r="Y222" s="1"/>
    </row>
    <row r="223" spans="24:25" ht="20.100000000000001" customHeight="1" x14ac:dyDescent="0.3">
      <c r="X223" s="1"/>
      <c r="Y223" s="1"/>
    </row>
    <row r="224" spans="24:25" ht="20.100000000000001" customHeight="1" x14ac:dyDescent="0.3">
      <c r="X224" s="1"/>
      <c r="Y224" s="1"/>
    </row>
    <row r="225" spans="24:25" ht="20.100000000000001" customHeight="1" x14ac:dyDescent="0.3">
      <c r="X225" s="1"/>
      <c r="Y225" s="1"/>
    </row>
    <row r="226" spans="24:25" ht="20.100000000000001" customHeight="1" x14ac:dyDescent="0.3">
      <c r="X226" s="1"/>
      <c r="Y226" s="1"/>
    </row>
    <row r="227" spans="24:25" ht="20.100000000000001" customHeight="1" x14ac:dyDescent="0.3">
      <c r="X227" s="1"/>
      <c r="Y227" s="1"/>
    </row>
    <row r="228" spans="24:25" ht="20.100000000000001" customHeight="1" x14ac:dyDescent="0.3">
      <c r="X228" s="1"/>
      <c r="Y228" s="1"/>
    </row>
    <row r="229" spans="24:25" ht="20.100000000000001" customHeight="1" x14ac:dyDescent="0.3">
      <c r="X229" s="1"/>
      <c r="Y229" s="1"/>
    </row>
    <row r="230" spans="24:25" ht="20.100000000000001" customHeight="1" x14ac:dyDescent="0.3">
      <c r="X230" s="1"/>
      <c r="Y230" s="1"/>
    </row>
    <row r="231" spans="24:25" ht="20.100000000000001" customHeight="1" x14ac:dyDescent="0.3">
      <c r="X231" s="1"/>
      <c r="Y231" s="1"/>
    </row>
    <row r="232" spans="24:25" ht="20.100000000000001" customHeight="1" x14ac:dyDescent="0.3">
      <c r="X232" s="1"/>
      <c r="Y232" s="1"/>
    </row>
    <row r="233" spans="24:25" ht="20.100000000000001" customHeight="1" x14ac:dyDescent="0.3">
      <c r="X233" s="1"/>
      <c r="Y233" s="1"/>
    </row>
    <row r="234" spans="24:25" ht="20.100000000000001" customHeight="1" x14ac:dyDescent="0.3">
      <c r="X234" s="1"/>
      <c r="Y234" s="1"/>
    </row>
    <row r="235" spans="24:25" ht="20.100000000000001" customHeight="1" x14ac:dyDescent="0.3">
      <c r="X235" s="1"/>
      <c r="Y235" s="1"/>
    </row>
    <row r="236" spans="24:25" ht="20.100000000000001" customHeight="1" x14ac:dyDescent="0.3">
      <c r="X236" s="1"/>
      <c r="Y236" s="1"/>
    </row>
    <row r="237" spans="24:25" ht="20.100000000000001" customHeight="1" x14ac:dyDescent="0.3">
      <c r="X237" s="1"/>
      <c r="Y237" s="1"/>
    </row>
    <row r="238" spans="24:25" ht="20.100000000000001" customHeight="1" x14ac:dyDescent="0.3">
      <c r="X238" s="1"/>
      <c r="Y238" s="1"/>
    </row>
    <row r="239" spans="24:25" ht="20.100000000000001" customHeight="1" x14ac:dyDescent="0.3">
      <c r="X239" s="1"/>
      <c r="Y239" s="1"/>
    </row>
    <row r="240" spans="24:25" ht="20.100000000000001" customHeight="1" x14ac:dyDescent="0.3">
      <c r="X240" s="1"/>
      <c r="Y240" s="1"/>
    </row>
    <row r="241" spans="24:25" ht="20.100000000000001" customHeight="1" x14ac:dyDescent="0.3">
      <c r="X241" s="1"/>
      <c r="Y241" s="1"/>
    </row>
    <row r="242" spans="24:25" ht="20.100000000000001" customHeight="1" x14ac:dyDescent="0.3">
      <c r="X242" s="1"/>
      <c r="Y242" s="1"/>
    </row>
    <row r="243" spans="24:25" ht="20.100000000000001" customHeight="1" x14ac:dyDescent="0.3">
      <c r="X243" s="1"/>
      <c r="Y243" s="1"/>
    </row>
    <row r="244" spans="24:25" ht="20.100000000000001" customHeight="1" x14ac:dyDescent="0.3">
      <c r="X244" s="1"/>
      <c r="Y244" s="1"/>
    </row>
    <row r="245" spans="24:25" ht="20.100000000000001" customHeight="1" x14ac:dyDescent="0.3">
      <c r="X245" s="1"/>
      <c r="Y245" s="1"/>
    </row>
    <row r="246" spans="24:25" ht="20.100000000000001" customHeight="1" x14ac:dyDescent="0.3">
      <c r="X246" s="1"/>
      <c r="Y246" s="1"/>
    </row>
    <row r="247" spans="24:25" ht="20.100000000000001" customHeight="1" x14ac:dyDescent="0.3">
      <c r="X247" s="1"/>
      <c r="Y247" s="1"/>
    </row>
    <row r="248" spans="24:25" ht="20.100000000000001" customHeight="1" x14ac:dyDescent="0.3">
      <c r="X248" s="1"/>
      <c r="Y248" s="1"/>
    </row>
    <row r="249" spans="24:25" ht="20.100000000000001" customHeight="1" x14ac:dyDescent="0.3">
      <c r="X249" s="1"/>
      <c r="Y249" s="1"/>
    </row>
    <row r="250" spans="24:25" ht="20.100000000000001" customHeight="1" x14ac:dyDescent="0.3">
      <c r="X250" s="1"/>
      <c r="Y250" s="1"/>
    </row>
    <row r="251" spans="24:25" ht="20.100000000000001" customHeight="1" x14ac:dyDescent="0.3">
      <c r="X251" s="1"/>
      <c r="Y251" s="1"/>
    </row>
    <row r="252" spans="24:25" ht="20.100000000000001" customHeight="1" x14ac:dyDescent="0.3">
      <c r="X252" s="1"/>
      <c r="Y252" s="1"/>
    </row>
    <row r="253" spans="24:25" ht="20.100000000000001" customHeight="1" x14ac:dyDescent="0.3">
      <c r="X253" s="1"/>
      <c r="Y253" s="1"/>
    </row>
    <row r="254" spans="24:25" ht="20.100000000000001" customHeight="1" x14ac:dyDescent="0.3">
      <c r="X254" s="1"/>
      <c r="Y254" s="1"/>
    </row>
    <row r="255" spans="24:25" ht="20.100000000000001" customHeight="1" x14ac:dyDescent="0.3">
      <c r="X255" s="1"/>
      <c r="Y255" s="1"/>
    </row>
    <row r="256" spans="24:25" ht="20.100000000000001" customHeight="1" x14ac:dyDescent="0.3">
      <c r="X256" s="1"/>
      <c r="Y256" s="1"/>
    </row>
    <row r="257" spans="24:25" ht="20.100000000000001" customHeight="1" x14ac:dyDescent="0.3">
      <c r="X257" s="1"/>
      <c r="Y257" s="1"/>
    </row>
    <row r="258" spans="24:25" ht="20.100000000000001" customHeight="1" x14ac:dyDescent="0.3">
      <c r="X258" s="1"/>
      <c r="Y258" s="1"/>
    </row>
    <row r="259" spans="24:25" ht="20.100000000000001" customHeight="1" x14ac:dyDescent="0.3">
      <c r="X259" s="1"/>
      <c r="Y259" s="1"/>
    </row>
    <row r="260" spans="24:25" ht="20.100000000000001" customHeight="1" x14ac:dyDescent="0.3">
      <c r="X260" s="1"/>
      <c r="Y260" s="1"/>
    </row>
    <row r="261" spans="24:25" ht="20.100000000000001" customHeight="1" x14ac:dyDescent="0.3">
      <c r="X261" s="1"/>
      <c r="Y261" s="1"/>
    </row>
    <row r="262" spans="24:25" ht="20.100000000000001" customHeight="1" x14ac:dyDescent="0.3">
      <c r="X262" s="1"/>
      <c r="Y262" s="1"/>
    </row>
    <row r="263" spans="24:25" ht="20.100000000000001" customHeight="1" x14ac:dyDescent="0.3">
      <c r="X263" s="1"/>
      <c r="Y263" s="1"/>
    </row>
    <row r="264" spans="24:25" ht="20.100000000000001" customHeight="1" x14ac:dyDescent="0.3">
      <c r="X264" s="1"/>
      <c r="Y264" s="1"/>
    </row>
    <row r="265" spans="24:25" ht="20.100000000000001" customHeight="1" x14ac:dyDescent="0.3">
      <c r="X265" s="1"/>
      <c r="Y265" s="1"/>
    </row>
    <row r="266" spans="24:25" ht="20.100000000000001" customHeight="1" x14ac:dyDescent="0.3">
      <c r="X266" s="1"/>
      <c r="Y266" s="1"/>
    </row>
    <row r="267" spans="24:25" ht="20.100000000000001" customHeight="1" x14ac:dyDescent="0.3">
      <c r="X267" s="1"/>
      <c r="Y267" s="1"/>
    </row>
    <row r="268" spans="24:25" ht="20.100000000000001" customHeight="1" x14ac:dyDescent="0.3">
      <c r="X268" s="1"/>
      <c r="Y268" s="1"/>
    </row>
    <row r="269" spans="24:25" ht="20.100000000000001" customHeight="1" x14ac:dyDescent="0.3">
      <c r="X269" s="1"/>
      <c r="Y269" s="1"/>
    </row>
    <row r="270" spans="24:25" ht="20.100000000000001" customHeight="1" x14ac:dyDescent="0.3">
      <c r="X270" s="1"/>
      <c r="Y270" s="1"/>
    </row>
    <row r="271" spans="24:25" ht="20.100000000000001" customHeight="1" x14ac:dyDescent="0.3">
      <c r="X271" s="1"/>
      <c r="Y271" s="1"/>
    </row>
    <row r="272" spans="24:25" ht="20.100000000000001" customHeight="1" x14ac:dyDescent="0.3">
      <c r="X272" s="1"/>
      <c r="Y272" s="1"/>
    </row>
    <row r="273" spans="24:25" ht="20.100000000000001" customHeight="1" x14ac:dyDescent="0.3">
      <c r="X273" s="1"/>
      <c r="Y273" s="1"/>
    </row>
    <row r="274" spans="24:25" ht="20.100000000000001" customHeight="1" x14ac:dyDescent="0.3">
      <c r="X274" s="1"/>
      <c r="Y274" s="1"/>
    </row>
    <row r="275" spans="24:25" ht="20.100000000000001" customHeight="1" x14ac:dyDescent="0.3">
      <c r="X275" s="1"/>
      <c r="Y275" s="1"/>
    </row>
    <row r="276" spans="24:25" ht="20.100000000000001" customHeight="1" x14ac:dyDescent="0.3">
      <c r="X276" s="1"/>
      <c r="Y276" s="1"/>
    </row>
    <row r="277" spans="24:25" ht="20.100000000000001" customHeight="1" x14ac:dyDescent="0.3">
      <c r="X277" s="1"/>
      <c r="Y277" s="1"/>
    </row>
    <row r="278" spans="24:25" ht="20.100000000000001" customHeight="1" x14ac:dyDescent="0.3">
      <c r="X278" s="1"/>
      <c r="Y278" s="1"/>
    </row>
    <row r="279" spans="24:25" ht="20.100000000000001" customHeight="1" x14ac:dyDescent="0.3">
      <c r="X279" s="1"/>
      <c r="Y279" s="1"/>
    </row>
    <row r="280" spans="24:25" ht="20.100000000000001" customHeight="1" x14ac:dyDescent="0.3">
      <c r="X280" s="1"/>
      <c r="Y280" s="1"/>
    </row>
    <row r="281" spans="24:25" ht="20.100000000000001" customHeight="1" x14ac:dyDescent="0.3">
      <c r="X281" s="1"/>
      <c r="Y281" s="1"/>
    </row>
    <row r="282" spans="24:25" ht="20.100000000000001" customHeight="1" x14ac:dyDescent="0.3">
      <c r="X282" s="1"/>
      <c r="Y282" s="1"/>
    </row>
    <row r="283" spans="24:25" ht="20.100000000000001" customHeight="1" x14ac:dyDescent="0.3">
      <c r="X283" s="1"/>
      <c r="Y283" s="1"/>
    </row>
    <row r="284" spans="24:25" ht="20.100000000000001" customHeight="1" x14ac:dyDescent="0.3">
      <c r="X284" s="1"/>
      <c r="Y284" s="1"/>
    </row>
    <row r="285" spans="24:25" ht="20.100000000000001" customHeight="1" x14ac:dyDescent="0.3">
      <c r="X285" s="1"/>
      <c r="Y285" s="1"/>
    </row>
    <row r="286" spans="24:25" ht="20.100000000000001" customHeight="1" x14ac:dyDescent="0.3">
      <c r="X286" s="1"/>
      <c r="Y286" s="1"/>
    </row>
    <row r="287" spans="24:25" ht="20.100000000000001" customHeight="1" x14ac:dyDescent="0.3">
      <c r="X287" s="1"/>
      <c r="Y287" s="1"/>
    </row>
    <row r="288" spans="24:25" ht="20.100000000000001" customHeight="1" x14ac:dyDescent="0.3">
      <c r="X288" s="1"/>
      <c r="Y288" s="1"/>
    </row>
    <row r="289" spans="24:25" ht="20.100000000000001" customHeight="1" x14ac:dyDescent="0.3">
      <c r="X289" s="1"/>
      <c r="Y289" s="1"/>
    </row>
    <row r="290" spans="24:25" ht="20.100000000000001" customHeight="1" x14ac:dyDescent="0.3">
      <c r="X290" s="1"/>
      <c r="Y290" s="1"/>
    </row>
    <row r="291" spans="24:25" ht="20.100000000000001" customHeight="1" x14ac:dyDescent="0.3">
      <c r="X291" s="1"/>
      <c r="Y291" s="1"/>
    </row>
    <row r="292" spans="24:25" ht="20.100000000000001" customHeight="1" x14ac:dyDescent="0.3">
      <c r="X292" s="1"/>
      <c r="Y292" s="1"/>
    </row>
    <row r="293" spans="24:25" ht="20.100000000000001" customHeight="1" x14ac:dyDescent="0.3">
      <c r="X293" s="1"/>
      <c r="Y293" s="1"/>
    </row>
    <row r="294" spans="24:25" ht="20.100000000000001" customHeight="1" x14ac:dyDescent="0.3">
      <c r="X294" s="1"/>
      <c r="Y294" s="1"/>
    </row>
    <row r="295" spans="24:25" ht="20.100000000000001" customHeight="1" x14ac:dyDescent="0.3">
      <c r="X295" s="1"/>
      <c r="Y295" s="1"/>
    </row>
    <row r="296" spans="24:25" ht="20.100000000000001" customHeight="1" x14ac:dyDescent="0.3">
      <c r="X296" s="1"/>
      <c r="Y296" s="1"/>
    </row>
    <row r="297" spans="24:25" ht="20.100000000000001" customHeight="1" x14ac:dyDescent="0.3">
      <c r="X297" s="1"/>
      <c r="Y297" s="1"/>
    </row>
    <row r="298" spans="24:25" ht="20.100000000000001" customHeight="1" x14ac:dyDescent="0.3">
      <c r="X298" s="1"/>
      <c r="Y298" s="1"/>
    </row>
    <row r="299" spans="24:25" ht="20.100000000000001" customHeight="1" x14ac:dyDescent="0.3">
      <c r="X299" s="1"/>
      <c r="Y299" s="1"/>
    </row>
    <row r="300" spans="24:25" ht="20.100000000000001" customHeight="1" x14ac:dyDescent="0.3">
      <c r="X300" s="1"/>
      <c r="Y300" s="1"/>
    </row>
    <row r="301" spans="24:25" ht="20.100000000000001" customHeight="1" x14ac:dyDescent="0.3">
      <c r="X301" s="1"/>
      <c r="Y301" s="1"/>
    </row>
    <row r="302" spans="24:25" ht="20.100000000000001" customHeight="1" x14ac:dyDescent="0.3">
      <c r="X302" s="1"/>
      <c r="Y302" s="1"/>
    </row>
    <row r="303" spans="24:25" ht="20.100000000000001" customHeight="1" x14ac:dyDescent="0.3">
      <c r="X303" s="1"/>
      <c r="Y303" s="1"/>
    </row>
    <row r="304" spans="24:25" ht="20.100000000000001" customHeight="1" x14ac:dyDescent="0.3">
      <c r="X304" s="1"/>
      <c r="Y304" s="1"/>
    </row>
    <row r="305" spans="24:25" ht="20.100000000000001" customHeight="1" x14ac:dyDescent="0.3">
      <c r="X305" s="1"/>
      <c r="Y305" s="1"/>
    </row>
    <row r="306" spans="24:25" ht="20.100000000000001" customHeight="1" x14ac:dyDescent="0.3">
      <c r="X306" s="1"/>
      <c r="Y306" s="1"/>
    </row>
    <row r="307" spans="24:25" ht="20.100000000000001" customHeight="1" x14ac:dyDescent="0.3">
      <c r="X307" s="1"/>
      <c r="Y307" s="1"/>
    </row>
    <row r="308" spans="24:25" ht="20.100000000000001" customHeight="1" x14ac:dyDescent="0.3">
      <c r="X308" s="1"/>
      <c r="Y308" s="1"/>
    </row>
    <row r="309" spans="24:25" ht="20.100000000000001" customHeight="1" x14ac:dyDescent="0.3">
      <c r="X309" s="1"/>
      <c r="Y309" s="1"/>
    </row>
    <row r="310" spans="24:25" ht="20.100000000000001" customHeight="1" x14ac:dyDescent="0.3">
      <c r="X310" s="1"/>
      <c r="Y310" s="1"/>
    </row>
    <row r="311" spans="24:25" ht="20.100000000000001" customHeight="1" x14ac:dyDescent="0.3">
      <c r="X311" s="1"/>
      <c r="Y311" s="1"/>
    </row>
    <row r="312" spans="24:25" ht="20.100000000000001" customHeight="1" x14ac:dyDescent="0.3">
      <c r="X312" s="1"/>
      <c r="Y312" s="1"/>
    </row>
    <row r="313" spans="24:25" ht="20.100000000000001" customHeight="1" x14ac:dyDescent="0.3">
      <c r="X313" s="1"/>
      <c r="Y313" s="1"/>
    </row>
    <row r="314" spans="24:25" ht="20.100000000000001" customHeight="1" x14ac:dyDescent="0.3">
      <c r="X314" s="1"/>
      <c r="Y314" s="1"/>
    </row>
    <row r="315" spans="24:25" ht="20.100000000000001" customHeight="1" x14ac:dyDescent="0.3">
      <c r="X315" s="1"/>
      <c r="Y315" s="1"/>
    </row>
    <row r="316" spans="24:25" ht="20.100000000000001" customHeight="1" x14ac:dyDescent="0.3">
      <c r="X316" s="1"/>
      <c r="Y316" s="1"/>
    </row>
    <row r="317" spans="24:25" ht="20.100000000000001" customHeight="1" x14ac:dyDescent="0.3">
      <c r="X317" s="1"/>
      <c r="Y317" s="1"/>
    </row>
    <row r="318" spans="24:25" ht="20.100000000000001" customHeight="1" x14ac:dyDescent="0.3">
      <c r="X318" s="1"/>
      <c r="Y318" s="1"/>
    </row>
    <row r="319" spans="24:25" ht="20.100000000000001" customHeight="1" x14ac:dyDescent="0.3">
      <c r="X319" s="1"/>
      <c r="Y319" s="1"/>
    </row>
    <row r="320" spans="24:25" ht="20.100000000000001" customHeight="1" x14ac:dyDescent="0.3">
      <c r="X320" s="1"/>
      <c r="Y320" s="1"/>
    </row>
    <row r="321" spans="24:25" ht="20.100000000000001" customHeight="1" x14ac:dyDescent="0.3">
      <c r="X321" s="1"/>
      <c r="Y321" s="1"/>
    </row>
    <row r="322" spans="24:25" ht="20.100000000000001" customHeight="1" x14ac:dyDescent="0.3">
      <c r="X322" s="1"/>
      <c r="Y322" s="1"/>
    </row>
    <row r="323" spans="24:25" ht="20.100000000000001" customHeight="1" x14ac:dyDescent="0.3">
      <c r="X323" s="1"/>
      <c r="Y323" s="1"/>
    </row>
    <row r="324" spans="24:25" ht="20.100000000000001" customHeight="1" x14ac:dyDescent="0.3">
      <c r="X324" s="1"/>
      <c r="Y324" s="1"/>
    </row>
    <row r="325" spans="24:25" ht="20.100000000000001" customHeight="1" x14ac:dyDescent="0.3">
      <c r="X325" s="1"/>
      <c r="Y325" s="1"/>
    </row>
    <row r="326" spans="24:25" ht="20.100000000000001" customHeight="1" x14ac:dyDescent="0.3">
      <c r="X326" s="1"/>
      <c r="Y326" s="1"/>
    </row>
    <row r="327" spans="24:25" ht="20.100000000000001" customHeight="1" x14ac:dyDescent="0.3">
      <c r="X327" s="1"/>
      <c r="Y327" s="1"/>
    </row>
    <row r="328" spans="24:25" ht="20.100000000000001" customHeight="1" x14ac:dyDescent="0.3">
      <c r="X328" s="1"/>
      <c r="Y328" s="1"/>
    </row>
    <row r="329" spans="24:25" ht="20.100000000000001" customHeight="1" x14ac:dyDescent="0.3">
      <c r="X329" s="1"/>
      <c r="Y329" s="1"/>
    </row>
    <row r="330" spans="24:25" ht="20.100000000000001" customHeight="1" x14ac:dyDescent="0.3">
      <c r="X330" s="1"/>
      <c r="Y330" s="1"/>
    </row>
    <row r="331" spans="24:25" ht="20.100000000000001" customHeight="1" x14ac:dyDescent="0.3">
      <c r="X331" s="1"/>
      <c r="Y331" s="1"/>
    </row>
    <row r="332" spans="24:25" ht="20.100000000000001" customHeight="1" x14ac:dyDescent="0.3">
      <c r="X332" s="1"/>
      <c r="Y332" s="1"/>
    </row>
    <row r="333" spans="24:25" ht="20.100000000000001" customHeight="1" x14ac:dyDescent="0.3">
      <c r="X333" s="1"/>
      <c r="Y333" s="1"/>
    </row>
    <row r="334" spans="24:25" ht="20.100000000000001" customHeight="1" x14ac:dyDescent="0.3">
      <c r="X334" s="1"/>
      <c r="Y334" s="1"/>
    </row>
    <row r="335" spans="24:25" ht="20.100000000000001" customHeight="1" x14ac:dyDescent="0.3">
      <c r="X335" s="1"/>
      <c r="Y335" s="1"/>
    </row>
    <row r="336" spans="24:25" ht="20.100000000000001" customHeight="1" x14ac:dyDescent="0.3">
      <c r="X336" s="1"/>
      <c r="Y336" s="1"/>
    </row>
    <row r="337" spans="24:25" ht="20.100000000000001" customHeight="1" x14ac:dyDescent="0.3">
      <c r="X337" s="1"/>
      <c r="Y337" s="1"/>
    </row>
    <row r="338" spans="24:25" ht="20.100000000000001" customHeight="1" x14ac:dyDescent="0.3">
      <c r="X338" s="1"/>
      <c r="Y338" s="1"/>
    </row>
    <row r="339" spans="24:25" ht="20.100000000000001" customHeight="1" x14ac:dyDescent="0.3">
      <c r="X339" s="1"/>
      <c r="Y339" s="1"/>
    </row>
    <row r="340" spans="24:25" ht="20.100000000000001" customHeight="1" x14ac:dyDescent="0.3">
      <c r="X340" s="1"/>
      <c r="Y340" s="1"/>
    </row>
    <row r="341" spans="24:25" ht="20.100000000000001" customHeight="1" x14ac:dyDescent="0.3">
      <c r="X341" s="1"/>
      <c r="Y341" s="1"/>
    </row>
    <row r="342" spans="24:25" ht="20.100000000000001" customHeight="1" x14ac:dyDescent="0.3">
      <c r="X342" s="1"/>
      <c r="Y342" s="1"/>
    </row>
    <row r="343" spans="24:25" ht="20.100000000000001" customHeight="1" x14ac:dyDescent="0.3">
      <c r="X343" s="1"/>
      <c r="Y343" s="1"/>
    </row>
    <row r="344" spans="24:25" ht="20.100000000000001" customHeight="1" x14ac:dyDescent="0.3">
      <c r="X344" s="1"/>
      <c r="Y344" s="1"/>
    </row>
    <row r="345" spans="24:25" ht="20.100000000000001" customHeight="1" x14ac:dyDescent="0.3">
      <c r="X345" s="1"/>
      <c r="Y345" s="1"/>
    </row>
    <row r="346" spans="24:25" ht="20.100000000000001" customHeight="1" x14ac:dyDescent="0.3">
      <c r="X346" s="1"/>
      <c r="Y346" s="1"/>
    </row>
    <row r="347" spans="24:25" ht="20.100000000000001" customHeight="1" x14ac:dyDescent="0.3">
      <c r="X347" s="1"/>
      <c r="Y347" s="1"/>
    </row>
    <row r="348" spans="24:25" ht="20.100000000000001" customHeight="1" x14ac:dyDescent="0.3">
      <c r="X348" s="1"/>
      <c r="Y348" s="1"/>
    </row>
    <row r="349" spans="24:25" ht="20.100000000000001" customHeight="1" x14ac:dyDescent="0.3">
      <c r="X349" s="1"/>
      <c r="Y349" s="1"/>
    </row>
    <row r="350" spans="24:25" ht="20.100000000000001" customHeight="1" x14ac:dyDescent="0.3">
      <c r="X350" s="1"/>
      <c r="Y350" s="1"/>
    </row>
    <row r="351" spans="24:25" ht="20.100000000000001" customHeight="1" x14ac:dyDescent="0.3">
      <c r="X351" s="1"/>
      <c r="Y351" s="1"/>
    </row>
    <row r="352" spans="24:25" ht="20.100000000000001" customHeight="1" x14ac:dyDescent="0.3">
      <c r="X352" s="1"/>
      <c r="Y352" s="1"/>
    </row>
    <row r="353" spans="24:25" ht="20.100000000000001" customHeight="1" x14ac:dyDescent="0.3">
      <c r="X353" s="1"/>
      <c r="Y353" s="1"/>
    </row>
    <row r="354" spans="24:25" ht="20.100000000000001" customHeight="1" x14ac:dyDescent="0.3">
      <c r="X354" s="1"/>
      <c r="Y354" s="1"/>
    </row>
    <row r="355" spans="24:25" ht="20.100000000000001" customHeight="1" x14ac:dyDescent="0.3">
      <c r="X355" s="1"/>
      <c r="Y355" s="1"/>
    </row>
    <row r="356" spans="24:25" ht="20.100000000000001" customHeight="1" x14ac:dyDescent="0.3">
      <c r="X356" s="1"/>
      <c r="Y356" s="1"/>
    </row>
    <row r="357" spans="24:25" ht="20.100000000000001" customHeight="1" x14ac:dyDescent="0.3">
      <c r="X357" s="1"/>
      <c r="Y357" s="1"/>
    </row>
    <row r="358" spans="24:25" ht="20.100000000000001" customHeight="1" x14ac:dyDescent="0.3">
      <c r="X358" s="1"/>
      <c r="Y358" s="1"/>
    </row>
    <row r="359" spans="24:25" ht="20.100000000000001" customHeight="1" x14ac:dyDescent="0.3">
      <c r="X359" s="1"/>
      <c r="Y359" s="1"/>
    </row>
    <row r="360" spans="24:25" ht="20.100000000000001" customHeight="1" x14ac:dyDescent="0.3">
      <c r="X360" s="1"/>
      <c r="Y360" s="1"/>
    </row>
    <row r="361" spans="24:25" ht="20.100000000000001" customHeight="1" x14ac:dyDescent="0.3">
      <c r="X361" s="1"/>
      <c r="Y361" s="1"/>
    </row>
    <row r="362" spans="24:25" ht="20.100000000000001" customHeight="1" x14ac:dyDescent="0.3">
      <c r="X362" s="1"/>
      <c r="Y362" s="1"/>
    </row>
    <row r="363" spans="24:25" ht="20.100000000000001" customHeight="1" x14ac:dyDescent="0.3">
      <c r="X363" s="1"/>
      <c r="Y363" s="1"/>
    </row>
    <row r="364" spans="24:25" ht="20.100000000000001" customHeight="1" x14ac:dyDescent="0.3">
      <c r="X364" s="1"/>
      <c r="Y364" s="1"/>
    </row>
    <row r="365" spans="24:25" ht="20.100000000000001" customHeight="1" x14ac:dyDescent="0.3">
      <c r="X365" s="1"/>
      <c r="Y365" s="1"/>
    </row>
    <row r="366" spans="24:25" ht="20.100000000000001" customHeight="1" x14ac:dyDescent="0.3">
      <c r="X366" s="1"/>
      <c r="Y366" s="1"/>
    </row>
    <row r="367" spans="24:25" ht="20.100000000000001" customHeight="1" x14ac:dyDescent="0.3">
      <c r="X367" s="1"/>
      <c r="Y367" s="1"/>
    </row>
    <row r="368" spans="24:25" ht="20.100000000000001" customHeight="1" x14ac:dyDescent="0.3">
      <c r="X368" s="1"/>
      <c r="Y368" s="1"/>
    </row>
    <row r="369" spans="24:25" ht="20.100000000000001" customHeight="1" x14ac:dyDescent="0.3">
      <c r="X369" s="1"/>
      <c r="Y369" s="1"/>
    </row>
    <row r="370" spans="24:25" ht="20.100000000000001" customHeight="1" x14ac:dyDescent="0.3">
      <c r="X370" s="1"/>
      <c r="Y370" s="1"/>
    </row>
    <row r="371" spans="24:25" ht="20.100000000000001" customHeight="1" x14ac:dyDescent="0.3">
      <c r="X371" s="1"/>
      <c r="Y371" s="1"/>
    </row>
    <row r="372" spans="24:25" ht="20.100000000000001" customHeight="1" x14ac:dyDescent="0.3">
      <c r="X372" s="1"/>
      <c r="Y372" s="1"/>
    </row>
    <row r="373" spans="24:25" ht="20.100000000000001" customHeight="1" x14ac:dyDescent="0.3">
      <c r="X373" s="1"/>
      <c r="Y373" s="1"/>
    </row>
    <row r="374" spans="24:25" ht="20.100000000000001" customHeight="1" x14ac:dyDescent="0.3">
      <c r="X374" s="1"/>
      <c r="Y374" s="1"/>
    </row>
    <row r="375" spans="24:25" ht="20.100000000000001" customHeight="1" x14ac:dyDescent="0.3">
      <c r="X375" s="1"/>
      <c r="Y375" s="1"/>
    </row>
    <row r="376" spans="24:25" ht="20.100000000000001" customHeight="1" x14ac:dyDescent="0.3">
      <c r="X376" s="1"/>
      <c r="Y376" s="1"/>
    </row>
    <row r="377" spans="24:25" ht="20.100000000000001" customHeight="1" x14ac:dyDescent="0.3">
      <c r="X377" s="1"/>
      <c r="Y377" s="1"/>
    </row>
    <row r="378" spans="24:25" ht="20.100000000000001" customHeight="1" x14ac:dyDescent="0.3">
      <c r="X378" s="1"/>
      <c r="Y378" s="1"/>
    </row>
    <row r="379" spans="24:25" ht="20.100000000000001" customHeight="1" x14ac:dyDescent="0.3">
      <c r="X379" s="1"/>
      <c r="Y379" s="1"/>
    </row>
    <row r="380" spans="24:25" ht="20.100000000000001" customHeight="1" x14ac:dyDescent="0.3">
      <c r="X380" s="1"/>
      <c r="Y380" s="1"/>
    </row>
    <row r="381" spans="24:25" ht="20.100000000000001" customHeight="1" x14ac:dyDescent="0.3">
      <c r="X381" s="1"/>
      <c r="Y381" s="1"/>
    </row>
    <row r="382" spans="24:25" ht="20.100000000000001" customHeight="1" x14ac:dyDescent="0.3">
      <c r="X382" s="1"/>
      <c r="Y382" s="1"/>
    </row>
    <row r="383" spans="24:25" ht="20.100000000000001" customHeight="1" x14ac:dyDescent="0.3">
      <c r="X383" s="1"/>
      <c r="Y383" s="1"/>
    </row>
    <row r="384" spans="24:25" ht="20.100000000000001" customHeight="1" x14ac:dyDescent="0.3">
      <c r="X384" s="1"/>
      <c r="Y384" s="1"/>
    </row>
    <row r="385" spans="24:25" ht="20.100000000000001" customHeight="1" x14ac:dyDescent="0.3">
      <c r="X385" s="1"/>
      <c r="Y385" s="1"/>
    </row>
    <row r="386" spans="24:25" ht="20.100000000000001" customHeight="1" x14ac:dyDescent="0.3">
      <c r="X386" s="1"/>
      <c r="Y386" s="1"/>
    </row>
    <row r="387" spans="24:25" ht="20.100000000000001" customHeight="1" x14ac:dyDescent="0.3">
      <c r="X387" s="1"/>
      <c r="Y387" s="1"/>
    </row>
    <row r="388" spans="24:25" ht="20.100000000000001" customHeight="1" x14ac:dyDescent="0.3">
      <c r="X388" s="1"/>
      <c r="Y388" s="1"/>
    </row>
    <row r="389" spans="24:25" ht="20.100000000000001" customHeight="1" x14ac:dyDescent="0.3">
      <c r="X389" s="1"/>
      <c r="Y389" s="1"/>
    </row>
    <row r="390" spans="24:25" ht="20.100000000000001" customHeight="1" x14ac:dyDescent="0.3">
      <c r="X390" s="1"/>
      <c r="Y390" s="1"/>
    </row>
    <row r="391" spans="24:25" ht="20.100000000000001" customHeight="1" x14ac:dyDescent="0.3">
      <c r="X391" s="1"/>
      <c r="Y391" s="1"/>
    </row>
    <row r="392" spans="24:25" ht="20.100000000000001" customHeight="1" x14ac:dyDescent="0.3">
      <c r="X392" s="1"/>
      <c r="Y392" s="1"/>
    </row>
    <row r="393" spans="24:25" ht="20.100000000000001" customHeight="1" x14ac:dyDescent="0.3">
      <c r="X393" s="1"/>
      <c r="Y393" s="1"/>
    </row>
    <row r="394" spans="24:25" ht="20.100000000000001" customHeight="1" x14ac:dyDescent="0.3">
      <c r="X394" s="1"/>
      <c r="Y394" s="1"/>
    </row>
    <row r="395" spans="24:25" ht="20.100000000000001" customHeight="1" x14ac:dyDescent="0.3">
      <c r="X395" s="1"/>
      <c r="Y395" s="1"/>
    </row>
    <row r="396" spans="24:25" ht="20.100000000000001" customHeight="1" x14ac:dyDescent="0.3">
      <c r="X396" s="1"/>
      <c r="Y396" s="1"/>
    </row>
    <row r="397" spans="24:25" ht="20.100000000000001" customHeight="1" x14ac:dyDescent="0.3">
      <c r="X397" s="1"/>
      <c r="Y397" s="1"/>
    </row>
    <row r="398" spans="24:25" ht="20.100000000000001" customHeight="1" x14ac:dyDescent="0.3">
      <c r="X398" s="1"/>
      <c r="Y398" s="1"/>
    </row>
    <row r="399" spans="24:25" ht="20.100000000000001" customHeight="1" x14ac:dyDescent="0.3">
      <c r="X399" s="1"/>
      <c r="Y399" s="1"/>
    </row>
    <row r="400" spans="24:25" ht="20.100000000000001" customHeight="1" x14ac:dyDescent="0.3">
      <c r="X400" s="1"/>
      <c r="Y400" s="1"/>
    </row>
    <row r="401" spans="24:25" ht="20.100000000000001" customHeight="1" x14ac:dyDescent="0.3">
      <c r="X401" s="1"/>
      <c r="Y401" s="1"/>
    </row>
    <row r="402" spans="24:25" ht="20.100000000000001" customHeight="1" x14ac:dyDescent="0.3">
      <c r="X402" s="1"/>
      <c r="Y402" s="1"/>
    </row>
    <row r="403" spans="24:25" ht="20.100000000000001" customHeight="1" x14ac:dyDescent="0.3">
      <c r="X403" s="1"/>
      <c r="Y403" s="1"/>
    </row>
    <row r="404" spans="24:25" ht="20.100000000000001" customHeight="1" x14ac:dyDescent="0.3">
      <c r="X404" s="1"/>
      <c r="Y404" s="1"/>
    </row>
    <row r="405" spans="24:25" ht="20.100000000000001" customHeight="1" x14ac:dyDescent="0.3">
      <c r="X405" s="1"/>
      <c r="Y405" s="1"/>
    </row>
    <row r="406" spans="24:25" ht="20.100000000000001" customHeight="1" x14ac:dyDescent="0.3">
      <c r="X406" s="1"/>
      <c r="Y406" s="1"/>
    </row>
    <row r="407" spans="24:25" ht="20.100000000000001" customHeight="1" x14ac:dyDescent="0.3">
      <c r="X407" s="1"/>
      <c r="Y407" s="1"/>
    </row>
    <row r="408" spans="24:25" ht="20.100000000000001" customHeight="1" x14ac:dyDescent="0.3">
      <c r="X408" s="1"/>
      <c r="Y408" s="1"/>
    </row>
    <row r="409" spans="24:25" ht="20.100000000000001" customHeight="1" x14ac:dyDescent="0.3">
      <c r="X409" s="1"/>
      <c r="Y409" s="1"/>
    </row>
    <row r="410" spans="24:25" ht="20.100000000000001" customHeight="1" x14ac:dyDescent="0.3">
      <c r="X410" s="1"/>
      <c r="Y410" s="1"/>
    </row>
    <row r="411" spans="24:25" ht="20.100000000000001" customHeight="1" x14ac:dyDescent="0.3">
      <c r="X411" s="1"/>
      <c r="Y411" s="1"/>
    </row>
    <row r="412" spans="24:25" ht="20.100000000000001" customHeight="1" x14ac:dyDescent="0.3">
      <c r="X412" s="1"/>
      <c r="Y412" s="1"/>
    </row>
    <row r="413" spans="24:25" ht="20.100000000000001" customHeight="1" x14ac:dyDescent="0.3">
      <c r="X413" s="1"/>
      <c r="Y413" s="1"/>
    </row>
    <row r="414" spans="24:25" ht="20.100000000000001" customHeight="1" x14ac:dyDescent="0.3">
      <c r="X414" s="1"/>
      <c r="Y414" s="1"/>
    </row>
    <row r="415" spans="24:25" ht="20.100000000000001" customHeight="1" x14ac:dyDescent="0.3">
      <c r="X415" s="1"/>
      <c r="Y415" s="1"/>
    </row>
    <row r="416" spans="24:25" ht="20.100000000000001" customHeight="1" x14ac:dyDescent="0.3">
      <c r="X416" s="1"/>
      <c r="Y416" s="1"/>
    </row>
    <row r="417" spans="24:25" ht="20.100000000000001" customHeight="1" x14ac:dyDescent="0.3">
      <c r="X417" s="1"/>
      <c r="Y417" s="1"/>
    </row>
    <row r="418" spans="24:25" ht="20.100000000000001" customHeight="1" x14ac:dyDescent="0.3">
      <c r="X418" s="1"/>
      <c r="Y418" s="1"/>
    </row>
    <row r="419" spans="24:25" ht="20.100000000000001" customHeight="1" x14ac:dyDescent="0.3">
      <c r="X419" s="1"/>
      <c r="Y419" s="1"/>
    </row>
    <row r="420" spans="24:25" ht="20.100000000000001" customHeight="1" x14ac:dyDescent="0.3">
      <c r="X420" s="1"/>
      <c r="Y420" s="1"/>
    </row>
    <row r="421" spans="24:25" ht="20.100000000000001" customHeight="1" x14ac:dyDescent="0.3">
      <c r="X421" s="1"/>
      <c r="Y421" s="1"/>
    </row>
    <row r="422" spans="24:25" ht="20.100000000000001" customHeight="1" x14ac:dyDescent="0.3">
      <c r="X422" s="1"/>
      <c r="Y422" s="1"/>
    </row>
    <row r="423" spans="24:25" ht="20.100000000000001" customHeight="1" x14ac:dyDescent="0.3">
      <c r="X423" s="1"/>
      <c r="Y423" s="1"/>
    </row>
    <row r="424" spans="24:25" ht="20.100000000000001" customHeight="1" x14ac:dyDescent="0.3">
      <c r="X424" s="1"/>
      <c r="Y424" s="1"/>
    </row>
    <row r="425" spans="24:25" ht="20.100000000000001" customHeight="1" x14ac:dyDescent="0.3">
      <c r="X425" s="1"/>
      <c r="Y425" s="1"/>
    </row>
    <row r="426" spans="24:25" ht="20.100000000000001" customHeight="1" x14ac:dyDescent="0.3">
      <c r="X426" s="1"/>
      <c r="Y426" s="1"/>
    </row>
    <row r="427" spans="24:25" ht="20.100000000000001" customHeight="1" x14ac:dyDescent="0.3">
      <c r="X427" s="1"/>
      <c r="Y427" s="1"/>
    </row>
    <row r="428" spans="24:25" ht="20.100000000000001" customHeight="1" x14ac:dyDescent="0.3">
      <c r="X428" s="1"/>
      <c r="Y428" s="1"/>
    </row>
    <row r="429" spans="24:25" ht="20.100000000000001" customHeight="1" x14ac:dyDescent="0.3">
      <c r="X429" s="1"/>
      <c r="Y429" s="1"/>
    </row>
    <row r="430" spans="24:25" ht="20.100000000000001" customHeight="1" x14ac:dyDescent="0.3">
      <c r="X430" s="1"/>
      <c r="Y430" s="1"/>
    </row>
    <row r="431" spans="24:25" ht="20.100000000000001" customHeight="1" x14ac:dyDescent="0.3">
      <c r="X431" s="1"/>
      <c r="Y431" s="1"/>
    </row>
    <row r="432" spans="24:25" ht="20.100000000000001" customHeight="1" x14ac:dyDescent="0.3">
      <c r="X432" s="1"/>
      <c r="Y432" s="1"/>
    </row>
    <row r="433" spans="24:25" ht="20.100000000000001" customHeight="1" x14ac:dyDescent="0.3">
      <c r="X433" s="1"/>
      <c r="Y433" s="1"/>
    </row>
    <row r="434" spans="24:25" ht="20.100000000000001" customHeight="1" x14ac:dyDescent="0.3">
      <c r="X434" s="1"/>
      <c r="Y434" s="1"/>
    </row>
    <row r="435" spans="24:25" ht="20.100000000000001" customHeight="1" x14ac:dyDescent="0.3">
      <c r="X435" s="1"/>
      <c r="Y435" s="1"/>
    </row>
    <row r="436" spans="24:25" ht="20.100000000000001" customHeight="1" x14ac:dyDescent="0.3">
      <c r="X436" s="1"/>
      <c r="Y436" s="1"/>
    </row>
    <row r="437" spans="24:25" ht="20.100000000000001" customHeight="1" x14ac:dyDescent="0.3">
      <c r="X437" s="1"/>
      <c r="Y437" s="1"/>
    </row>
    <row r="438" spans="24:25" ht="20.100000000000001" customHeight="1" x14ac:dyDescent="0.3">
      <c r="X438" s="1"/>
      <c r="Y438" s="1"/>
    </row>
    <row r="439" spans="24:25" ht="20.100000000000001" customHeight="1" x14ac:dyDescent="0.3">
      <c r="X439" s="1"/>
      <c r="Y439" s="1"/>
    </row>
    <row r="440" spans="24:25" ht="20.100000000000001" customHeight="1" x14ac:dyDescent="0.3">
      <c r="X440" s="1"/>
      <c r="Y440" s="1"/>
    </row>
    <row r="441" spans="24:25" ht="20.100000000000001" customHeight="1" x14ac:dyDescent="0.3">
      <c r="X441" s="1"/>
      <c r="Y441" s="1"/>
    </row>
    <row r="442" spans="24:25" ht="20.100000000000001" customHeight="1" x14ac:dyDescent="0.3">
      <c r="X442" s="1"/>
      <c r="Y442" s="1"/>
    </row>
    <row r="443" spans="24:25" ht="20.100000000000001" customHeight="1" x14ac:dyDescent="0.3">
      <c r="X443" s="1"/>
      <c r="Y443" s="1"/>
    </row>
    <row r="444" spans="24:25" ht="20.100000000000001" customHeight="1" x14ac:dyDescent="0.3">
      <c r="X444" s="1"/>
      <c r="Y444" s="1"/>
    </row>
    <row r="445" spans="24:25" ht="20.100000000000001" customHeight="1" x14ac:dyDescent="0.3">
      <c r="X445" s="1"/>
      <c r="Y445" s="1"/>
    </row>
    <row r="446" spans="24:25" ht="20.100000000000001" customHeight="1" x14ac:dyDescent="0.3">
      <c r="X446" s="1"/>
      <c r="Y446" s="1"/>
    </row>
    <row r="447" spans="24:25" ht="20.100000000000001" customHeight="1" x14ac:dyDescent="0.3">
      <c r="X447" s="1"/>
      <c r="Y447" s="1"/>
    </row>
    <row r="448" spans="24:25" ht="20.100000000000001" customHeight="1" x14ac:dyDescent="0.3">
      <c r="X448" s="1"/>
      <c r="Y448" s="1"/>
    </row>
    <row r="449" spans="24:25" ht="20.100000000000001" customHeight="1" x14ac:dyDescent="0.3">
      <c r="X449" s="1"/>
      <c r="Y449" s="1"/>
    </row>
    <row r="450" spans="24:25" ht="20.100000000000001" customHeight="1" x14ac:dyDescent="0.3">
      <c r="X450" s="1"/>
      <c r="Y450" s="1"/>
    </row>
    <row r="451" spans="24:25" ht="20.100000000000001" customHeight="1" x14ac:dyDescent="0.3">
      <c r="X451" s="1"/>
      <c r="Y451" s="1"/>
    </row>
    <row r="452" spans="24:25" ht="20.100000000000001" customHeight="1" x14ac:dyDescent="0.3">
      <c r="X452" s="1"/>
      <c r="Y452" s="1"/>
    </row>
    <row r="453" spans="24:25" ht="20.100000000000001" customHeight="1" x14ac:dyDescent="0.3">
      <c r="X453" s="1"/>
      <c r="Y453" s="1"/>
    </row>
    <row r="454" spans="24:25" ht="20.100000000000001" customHeight="1" x14ac:dyDescent="0.3">
      <c r="X454" s="1"/>
      <c r="Y454" s="1"/>
    </row>
    <row r="455" spans="24:25" ht="20.100000000000001" customHeight="1" x14ac:dyDescent="0.3">
      <c r="X455" s="1"/>
      <c r="Y455" s="1"/>
    </row>
    <row r="456" spans="24:25" ht="20.100000000000001" customHeight="1" x14ac:dyDescent="0.3">
      <c r="X456" s="1"/>
      <c r="Y456" s="1"/>
    </row>
    <row r="457" spans="24:25" ht="20.100000000000001" customHeight="1" x14ac:dyDescent="0.3">
      <c r="X457" s="1"/>
      <c r="Y457" s="1"/>
    </row>
    <row r="458" spans="24:25" ht="20.100000000000001" customHeight="1" x14ac:dyDescent="0.3">
      <c r="X458" s="1"/>
      <c r="Y458" s="1"/>
    </row>
    <row r="459" spans="24:25" ht="20.100000000000001" customHeight="1" x14ac:dyDescent="0.3">
      <c r="X459" s="1"/>
      <c r="Y459" s="1"/>
    </row>
    <row r="460" spans="24:25" ht="20.100000000000001" customHeight="1" x14ac:dyDescent="0.3">
      <c r="X460" s="1"/>
      <c r="Y460" s="1"/>
    </row>
    <row r="461" spans="24:25" ht="20.100000000000001" customHeight="1" x14ac:dyDescent="0.3">
      <c r="X461" s="1"/>
      <c r="Y461" s="1"/>
    </row>
    <row r="462" spans="24:25" ht="20.100000000000001" customHeight="1" x14ac:dyDescent="0.3">
      <c r="X462" s="1"/>
      <c r="Y462" s="1"/>
    </row>
    <row r="463" spans="24:25" ht="20.100000000000001" customHeight="1" x14ac:dyDescent="0.3">
      <c r="X463" s="1"/>
      <c r="Y463" s="1"/>
    </row>
    <row r="464" spans="24:25" ht="20.100000000000001" customHeight="1" x14ac:dyDescent="0.3">
      <c r="X464" s="1"/>
      <c r="Y464" s="1"/>
    </row>
    <row r="465" spans="24:25" ht="20.100000000000001" customHeight="1" x14ac:dyDescent="0.3">
      <c r="X465" s="1"/>
      <c r="Y465" s="1"/>
    </row>
    <row r="466" spans="24:25" ht="20.100000000000001" customHeight="1" x14ac:dyDescent="0.3">
      <c r="X466" s="1"/>
      <c r="Y466" s="1"/>
    </row>
    <row r="467" spans="24:25" ht="20.100000000000001" customHeight="1" x14ac:dyDescent="0.3">
      <c r="X467" s="1"/>
      <c r="Y467" s="1"/>
    </row>
    <row r="468" spans="24:25" ht="20.100000000000001" customHeight="1" x14ac:dyDescent="0.3">
      <c r="X468" s="1"/>
      <c r="Y468" s="1"/>
    </row>
    <row r="469" spans="24:25" ht="20.100000000000001" customHeight="1" x14ac:dyDescent="0.3">
      <c r="X469" s="1"/>
      <c r="Y469" s="1"/>
    </row>
    <row r="470" spans="24:25" ht="20.100000000000001" customHeight="1" x14ac:dyDescent="0.3">
      <c r="X470" s="1"/>
      <c r="Y470" s="1"/>
    </row>
    <row r="471" spans="24:25" ht="20.100000000000001" customHeight="1" x14ac:dyDescent="0.3">
      <c r="X471" s="1"/>
      <c r="Y471" s="1"/>
    </row>
    <row r="472" spans="24:25" ht="20.100000000000001" customHeight="1" x14ac:dyDescent="0.3">
      <c r="X472" s="1"/>
      <c r="Y472" s="1"/>
    </row>
    <row r="473" spans="24:25" ht="20.100000000000001" customHeight="1" x14ac:dyDescent="0.3">
      <c r="X473" s="1"/>
      <c r="Y473" s="1"/>
    </row>
    <row r="474" spans="24:25" ht="20.100000000000001" customHeight="1" x14ac:dyDescent="0.3">
      <c r="X474" s="1"/>
      <c r="Y474" s="1"/>
    </row>
    <row r="475" spans="24:25" ht="20.100000000000001" customHeight="1" x14ac:dyDescent="0.3">
      <c r="X475" s="1"/>
      <c r="Y475" s="1"/>
    </row>
    <row r="476" spans="24:25" ht="20.100000000000001" customHeight="1" x14ac:dyDescent="0.3">
      <c r="X476" s="1"/>
      <c r="Y476" s="1"/>
    </row>
    <row r="477" spans="24:25" ht="20.100000000000001" customHeight="1" x14ac:dyDescent="0.3">
      <c r="X477" s="1"/>
      <c r="Y477" s="1"/>
    </row>
    <row r="478" spans="24:25" ht="20.100000000000001" customHeight="1" x14ac:dyDescent="0.3">
      <c r="X478" s="1"/>
      <c r="Y478" s="1"/>
    </row>
    <row r="479" spans="24:25" ht="20.100000000000001" customHeight="1" x14ac:dyDescent="0.3">
      <c r="X479" s="1"/>
      <c r="Y479" s="1"/>
    </row>
    <row r="480" spans="24:25" ht="20.100000000000001" customHeight="1" x14ac:dyDescent="0.3">
      <c r="X480" s="1"/>
      <c r="Y480" s="1"/>
    </row>
    <row r="481" spans="24:25" ht="20.100000000000001" customHeight="1" x14ac:dyDescent="0.3">
      <c r="X481" s="1"/>
      <c r="Y481" s="1"/>
    </row>
    <row r="482" spans="24:25" ht="20.100000000000001" customHeight="1" x14ac:dyDescent="0.3">
      <c r="X482" s="1"/>
      <c r="Y482" s="1"/>
    </row>
    <row r="483" spans="24:25" ht="20.100000000000001" customHeight="1" x14ac:dyDescent="0.3">
      <c r="X483" s="1"/>
      <c r="Y483" s="1"/>
    </row>
    <row r="484" spans="24:25" ht="20.100000000000001" customHeight="1" x14ac:dyDescent="0.3">
      <c r="X484" s="1"/>
      <c r="Y484" s="1"/>
    </row>
    <row r="485" spans="24:25" ht="20.100000000000001" customHeight="1" x14ac:dyDescent="0.3">
      <c r="X485" s="1"/>
      <c r="Y485" s="1"/>
    </row>
    <row r="486" spans="24:25" ht="20.100000000000001" customHeight="1" x14ac:dyDescent="0.3">
      <c r="X486" s="1"/>
      <c r="Y486" s="1"/>
    </row>
    <row r="487" spans="24:25" ht="20.100000000000001" customHeight="1" x14ac:dyDescent="0.3">
      <c r="X487" s="1"/>
      <c r="Y487" s="1"/>
    </row>
    <row r="488" spans="24:25" ht="20.100000000000001" customHeight="1" x14ac:dyDescent="0.3">
      <c r="X488" s="1"/>
      <c r="Y488" s="1"/>
    </row>
    <row r="489" spans="24:25" ht="20.100000000000001" customHeight="1" x14ac:dyDescent="0.3">
      <c r="X489" s="1"/>
      <c r="Y489" s="1"/>
    </row>
    <row r="490" spans="24:25" ht="20.100000000000001" customHeight="1" x14ac:dyDescent="0.3">
      <c r="X490" s="1"/>
      <c r="Y490" s="1"/>
    </row>
    <row r="491" spans="24:25" ht="20.100000000000001" customHeight="1" x14ac:dyDescent="0.3">
      <c r="X491" s="1"/>
      <c r="Y491" s="1"/>
    </row>
    <row r="492" spans="24:25" ht="20.100000000000001" customHeight="1" x14ac:dyDescent="0.3">
      <c r="X492" s="1"/>
      <c r="Y492" s="1"/>
    </row>
    <row r="493" spans="24:25" ht="20.100000000000001" customHeight="1" x14ac:dyDescent="0.3">
      <c r="X493" s="1"/>
      <c r="Y493" s="1"/>
    </row>
    <row r="494" spans="24:25" ht="20.100000000000001" customHeight="1" x14ac:dyDescent="0.3">
      <c r="X494" s="1"/>
      <c r="Y494" s="1"/>
    </row>
    <row r="495" spans="24:25" ht="20.100000000000001" customHeight="1" x14ac:dyDescent="0.3">
      <c r="X495" s="1"/>
      <c r="Y495" s="1"/>
    </row>
    <row r="496" spans="24:25" ht="20.100000000000001" customHeight="1" x14ac:dyDescent="0.3">
      <c r="X496" s="1"/>
      <c r="Y496" s="1"/>
    </row>
    <row r="497" spans="24:25" ht="20.100000000000001" customHeight="1" x14ac:dyDescent="0.3">
      <c r="X497" s="1"/>
      <c r="Y497" s="1"/>
    </row>
    <row r="498" spans="24:25" ht="20.100000000000001" customHeight="1" x14ac:dyDescent="0.3">
      <c r="X498" s="1"/>
      <c r="Y498" s="1"/>
    </row>
    <row r="499" spans="24:25" ht="20.100000000000001" customHeight="1" x14ac:dyDescent="0.3">
      <c r="X499" s="1"/>
      <c r="Y499" s="1"/>
    </row>
    <row r="500" spans="24:25" ht="20.100000000000001" customHeight="1" x14ac:dyDescent="0.3">
      <c r="X500" s="1"/>
      <c r="Y500" s="1"/>
    </row>
    <row r="501" spans="24:25" ht="20.100000000000001" customHeight="1" x14ac:dyDescent="0.3">
      <c r="X501" s="1"/>
      <c r="Y501" s="1"/>
    </row>
    <row r="502" spans="24:25" ht="20.100000000000001" customHeight="1" x14ac:dyDescent="0.3">
      <c r="X502" s="1"/>
      <c r="Y502" s="1"/>
    </row>
    <row r="503" spans="24:25" ht="20.100000000000001" customHeight="1" x14ac:dyDescent="0.3">
      <c r="X503" s="1"/>
      <c r="Y503" s="1"/>
    </row>
    <row r="504" spans="24:25" ht="20.100000000000001" customHeight="1" x14ac:dyDescent="0.3">
      <c r="X504" s="1"/>
      <c r="Y504" s="1"/>
    </row>
    <row r="505" spans="24:25" ht="20.100000000000001" customHeight="1" x14ac:dyDescent="0.3">
      <c r="X505" s="1"/>
      <c r="Y505" s="1"/>
    </row>
    <row r="506" spans="24:25" ht="20.100000000000001" customHeight="1" x14ac:dyDescent="0.3">
      <c r="X506" s="1"/>
      <c r="Y506" s="1"/>
    </row>
    <row r="507" spans="24:25" ht="20.100000000000001" customHeight="1" x14ac:dyDescent="0.3">
      <c r="X507" s="1"/>
      <c r="Y507" s="1"/>
    </row>
    <row r="508" spans="24:25" ht="20.100000000000001" customHeight="1" x14ac:dyDescent="0.3">
      <c r="X508" s="1"/>
      <c r="Y508" s="1"/>
    </row>
    <row r="509" spans="24:25" ht="20.100000000000001" customHeight="1" x14ac:dyDescent="0.3">
      <c r="X509" s="1"/>
      <c r="Y509" s="1"/>
    </row>
    <row r="510" spans="24:25" ht="20.100000000000001" customHeight="1" x14ac:dyDescent="0.3">
      <c r="X510" s="1"/>
      <c r="Y510" s="1"/>
    </row>
    <row r="511" spans="24:25" ht="20.100000000000001" customHeight="1" x14ac:dyDescent="0.3">
      <c r="X511" s="1"/>
      <c r="Y511" s="1"/>
    </row>
    <row r="512" spans="24:25" ht="20.100000000000001" customHeight="1" x14ac:dyDescent="0.3">
      <c r="X512" s="1"/>
      <c r="Y512" s="1"/>
    </row>
    <row r="513" spans="24:25" ht="20.100000000000001" customHeight="1" x14ac:dyDescent="0.3">
      <c r="X513" s="1"/>
      <c r="Y513" s="1"/>
    </row>
    <row r="514" spans="24:25" ht="20.100000000000001" customHeight="1" x14ac:dyDescent="0.3">
      <c r="X514" s="1"/>
      <c r="Y514" s="1"/>
    </row>
    <row r="515" spans="24:25" ht="20.100000000000001" customHeight="1" x14ac:dyDescent="0.3">
      <c r="X515" s="1"/>
      <c r="Y515" s="1"/>
    </row>
    <row r="516" spans="24:25" ht="20.100000000000001" customHeight="1" x14ac:dyDescent="0.3">
      <c r="X516" s="1"/>
      <c r="Y516" s="1"/>
    </row>
    <row r="517" spans="24:25" ht="20.100000000000001" customHeight="1" x14ac:dyDescent="0.3">
      <c r="X517" s="1"/>
      <c r="Y517" s="1"/>
    </row>
    <row r="518" spans="24:25" ht="20.100000000000001" customHeight="1" x14ac:dyDescent="0.3">
      <c r="X518" s="1"/>
      <c r="Y518" s="1"/>
    </row>
    <row r="519" spans="24:25" ht="20.100000000000001" customHeight="1" x14ac:dyDescent="0.3">
      <c r="X519" s="1"/>
      <c r="Y519" s="1"/>
    </row>
    <row r="520" spans="24:25" ht="20.100000000000001" customHeight="1" x14ac:dyDescent="0.3">
      <c r="X520" s="1"/>
      <c r="Y520" s="1"/>
    </row>
    <row r="521" spans="24:25" ht="20.100000000000001" customHeight="1" x14ac:dyDescent="0.3">
      <c r="X521" s="1"/>
      <c r="Y521" s="1"/>
    </row>
    <row r="522" spans="24:25" ht="20.100000000000001" customHeight="1" x14ac:dyDescent="0.3">
      <c r="X522" s="1"/>
      <c r="Y522" s="1"/>
    </row>
    <row r="523" spans="24:25" ht="20.100000000000001" customHeight="1" x14ac:dyDescent="0.3">
      <c r="X523" s="1"/>
      <c r="Y523" s="1"/>
    </row>
    <row r="524" spans="24:25" ht="20.100000000000001" customHeight="1" x14ac:dyDescent="0.3">
      <c r="X524" s="1"/>
      <c r="Y524" s="1"/>
    </row>
    <row r="525" spans="24:25" ht="20.100000000000001" customHeight="1" x14ac:dyDescent="0.3">
      <c r="X525" s="1"/>
      <c r="Y525" s="1"/>
    </row>
    <row r="526" spans="24:25" ht="20.100000000000001" customHeight="1" x14ac:dyDescent="0.3">
      <c r="X526" s="1"/>
      <c r="Y526" s="1"/>
    </row>
    <row r="527" spans="24:25" ht="20.100000000000001" customHeight="1" x14ac:dyDescent="0.3">
      <c r="X527" s="1"/>
      <c r="Y527" s="1"/>
    </row>
    <row r="528" spans="24:25" ht="20.100000000000001" customHeight="1" x14ac:dyDescent="0.3">
      <c r="X528" s="1"/>
      <c r="Y528" s="1"/>
    </row>
    <row r="529" spans="24:25" ht="20.100000000000001" customHeight="1" x14ac:dyDescent="0.3">
      <c r="X529" s="1"/>
      <c r="Y529" s="1"/>
    </row>
    <row r="530" spans="24:25" ht="20.100000000000001" customHeight="1" x14ac:dyDescent="0.3">
      <c r="X530" s="1"/>
      <c r="Y530" s="1"/>
    </row>
    <row r="531" spans="24:25" ht="20.100000000000001" customHeight="1" x14ac:dyDescent="0.3">
      <c r="X531" s="1"/>
      <c r="Y531" s="1"/>
    </row>
    <row r="532" spans="24:25" ht="20.100000000000001" customHeight="1" x14ac:dyDescent="0.3">
      <c r="X532" s="1"/>
      <c r="Y532" s="1"/>
    </row>
    <row r="533" spans="24:25" ht="20.100000000000001" customHeight="1" x14ac:dyDescent="0.3">
      <c r="X533" s="1"/>
      <c r="Y533" s="1"/>
    </row>
    <row r="534" spans="24:25" ht="20.100000000000001" customHeight="1" x14ac:dyDescent="0.3">
      <c r="X534" s="1"/>
      <c r="Y534" s="1"/>
    </row>
    <row r="535" spans="24:25" ht="20.100000000000001" customHeight="1" x14ac:dyDescent="0.3">
      <c r="X535" s="1"/>
      <c r="Y535" s="1"/>
    </row>
    <row r="536" spans="24:25" ht="20.100000000000001" customHeight="1" x14ac:dyDescent="0.3">
      <c r="X536" s="1"/>
      <c r="Y536" s="1"/>
    </row>
    <row r="537" spans="24:25" ht="20.100000000000001" customHeight="1" x14ac:dyDescent="0.3">
      <c r="X537" s="1"/>
      <c r="Y537" s="1"/>
    </row>
    <row r="538" spans="24:25" ht="20.100000000000001" customHeight="1" x14ac:dyDescent="0.3">
      <c r="X538" s="1"/>
      <c r="Y538" s="1"/>
    </row>
    <row r="539" spans="24:25" ht="20.100000000000001" customHeight="1" x14ac:dyDescent="0.3">
      <c r="X539" s="1"/>
      <c r="Y539" s="1"/>
    </row>
    <row r="540" spans="24:25" ht="20.100000000000001" customHeight="1" x14ac:dyDescent="0.3">
      <c r="X540" s="1"/>
      <c r="Y540" s="1"/>
    </row>
    <row r="541" spans="24:25" ht="20.100000000000001" customHeight="1" x14ac:dyDescent="0.3">
      <c r="X541" s="1"/>
      <c r="Y541" s="1"/>
    </row>
    <row r="542" spans="24:25" ht="20.100000000000001" customHeight="1" x14ac:dyDescent="0.3">
      <c r="X542" s="1"/>
      <c r="Y542" s="1"/>
    </row>
    <row r="543" spans="24:25" ht="20.100000000000001" customHeight="1" x14ac:dyDescent="0.3">
      <c r="X543" s="1"/>
      <c r="Y543" s="1"/>
    </row>
    <row r="544" spans="24:25" ht="20.100000000000001" customHeight="1" x14ac:dyDescent="0.3">
      <c r="X544" s="1"/>
      <c r="Y544" s="1"/>
    </row>
    <row r="545" spans="24:25" ht="20.100000000000001" customHeight="1" x14ac:dyDescent="0.3">
      <c r="X545" s="1"/>
      <c r="Y545" s="1"/>
    </row>
    <row r="546" spans="24:25" ht="20.100000000000001" customHeight="1" x14ac:dyDescent="0.3">
      <c r="X546" s="1"/>
      <c r="Y546" s="1"/>
    </row>
    <row r="547" spans="24:25" ht="20.100000000000001" customHeight="1" x14ac:dyDescent="0.3">
      <c r="X547" s="1"/>
      <c r="Y547" s="1"/>
    </row>
    <row r="548" spans="24:25" ht="20.100000000000001" customHeight="1" x14ac:dyDescent="0.3">
      <c r="X548" s="1"/>
      <c r="Y548" s="1"/>
    </row>
    <row r="549" spans="24:25" ht="20.100000000000001" customHeight="1" x14ac:dyDescent="0.3">
      <c r="X549" s="1"/>
      <c r="Y549" s="1"/>
    </row>
    <row r="550" spans="24:25" ht="20.100000000000001" customHeight="1" x14ac:dyDescent="0.3">
      <c r="X550" s="1"/>
      <c r="Y550" s="1"/>
    </row>
    <row r="551" spans="24:25" ht="20.100000000000001" customHeight="1" x14ac:dyDescent="0.3">
      <c r="X551" s="1"/>
      <c r="Y551" s="1"/>
    </row>
    <row r="552" spans="24:25" ht="20.100000000000001" customHeight="1" x14ac:dyDescent="0.3">
      <c r="X552" s="1"/>
      <c r="Y552" s="1"/>
    </row>
    <row r="553" spans="24:25" ht="20.100000000000001" customHeight="1" x14ac:dyDescent="0.3">
      <c r="X553" s="1"/>
      <c r="Y553" s="1"/>
    </row>
    <row r="554" spans="24:25" ht="20.100000000000001" customHeight="1" x14ac:dyDescent="0.3">
      <c r="X554" s="1"/>
      <c r="Y554" s="1"/>
    </row>
    <row r="555" spans="24:25" ht="20.100000000000001" customHeight="1" x14ac:dyDescent="0.3">
      <c r="X555" s="1"/>
      <c r="Y555" s="1"/>
    </row>
    <row r="556" spans="24:25" ht="20.100000000000001" customHeight="1" x14ac:dyDescent="0.3">
      <c r="X556" s="1"/>
      <c r="Y556" s="1"/>
    </row>
    <row r="557" spans="24:25" ht="20.100000000000001" customHeight="1" x14ac:dyDescent="0.3">
      <c r="X557" s="1"/>
      <c r="Y557" s="1"/>
    </row>
    <row r="558" spans="24:25" ht="20.100000000000001" customHeight="1" x14ac:dyDescent="0.3">
      <c r="X558" s="1"/>
      <c r="Y558" s="1"/>
    </row>
    <row r="559" spans="24:25" ht="20.100000000000001" customHeight="1" x14ac:dyDescent="0.3">
      <c r="X559" s="1"/>
      <c r="Y559" s="1"/>
    </row>
    <row r="560" spans="24:25" ht="20.100000000000001" customHeight="1" x14ac:dyDescent="0.3">
      <c r="X560" s="1"/>
      <c r="Y560" s="1"/>
    </row>
    <row r="561" spans="24:25" ht="20.100000000000001" customHeight="1" x14ac:dyDescent="0.3">
      <c r="X561" s="1"/>
      <c r="Y561" s="1"/>
    </row>
    <row r="562" spans="24:25" ht="20.100000000000001" customHeight="1" x14ac:dyDescent="0.3">
      <c r="X562" s="1"/>
      <c r="Y562" s="1"/>
    </row>
    <row r="563" spans="24:25" ht="20.100000000000001" customHeight="1" x14ac:dyDescent="0.3">
      <c r="X563" s="1"/>
      <c r="Y563" s="1"/>
    </row>
    <row r="564" spans="24:25" ht="20.100000000000001" customHeight="1" x14ac:dyDescent="0.3">
      <c r="X564" s="1"/>
      <c r="Y564" s="1"/>
    </row>
    <row r="565" spans="24:25" ht="20.100000000000001" customHeight="1" x14ac:dyDescent="0.3">
      <c r="X565" s="1"/>
      <c r="Y565" s="1"/>
    </row>
    <row r="566" spans="24:25" ht="20.100000000000001" customHeight="1" x14ac:dyDescent="0.3">
      <c r="X566" s="1"/>
      <c r="Y566" s="1"/>
    </row>
    <row r="567" spans="24:25" ht="20.100000000000001" customHeight="1" x14ac:dyDescent="0.3">
      <c r="X567" s="1"/>
      <c r="Y567" s="1"/>
    </row>
    <row r="568" spans="24:25" ht="20.100000000000001" customHeight="1" x14ac:dyDescent="0.3">
      <c r="X568" s="1"/>
      <c r="Y568" s="1"/>
    </row>
    <row r="569" spans="24:25" ht="20.100000000000001" customHeight="1" x14ac:dyDescent="0.3">
      <c r="X569" s="1"/>
      <c r="Y569" s="1"/>
    </row>
    <row r="570" spans="24:25" ht="20.100000000000001" customHeight="1" x14ac:dyDescent="0.3">
      <c r="X570" s="1"/>
      <c r="Y570" s="1"/>
    </row>
    <row r="571" spans="24:25" ht="20.100000000000001" customHeight="1" x14ac:dyDescent="0.3">
      <c r="X571" s="1"/>
      <c r="Y571" s="1"/>
    </row>
    <row r="572" spans="24:25" ht="20.100000000000001" customHeight="1" x14ac:dyDescent="0.3">
      <c r="X572" s="1"/>
      <c r="Y572" s="1"/>
    </row>
    <row r="573" spans="24:25" ht="20.100000000000001" customHeight="1" x14ac:dyDescent="0.3">
      <c r="X573" s="1"/>
      <c r="Y573" s="1"/>
    </row>
    <row r="574" spans="24:25" ht="20.100000000000001" customHeight="1" x14ac:dyDescent="0.3">
      <c r="X574" s="1"/>
      <c r="Y574" s="1"/>
    </row>
    <row r="575" spans="24:25" ht="20.100000000000001" customHeight="1" x14ac:dyDescent="0.3">
      <c r="X575" s="1"/>
      <c r="Y575" s="1"/>
    </row>
    <row r="576" spans="24:25" ht="20.100000000000001" customHeight="1" x14ac:dyDescent="0.3">
      <c r="X576" s="1"/>
      <c r="Y576" s="1"/>
    </row>
    <row r="577" spans="24:25" ht="20.100000000000001" customHeight="1" x14ac:dyDescent="0.3">
      <c r="X577" s="1"/>
      <c r="Y577" s="1"/>
    </row>
    <row r="578" spans="24:25" ht="20.100000000000001" customHeight="1" x14ac:dyDescent="0.3">
      <c r="X578" s="1"/>
      <c r="Y578" s="1"/>
    </row>
    <row r="579" spans="24:25" ht="20.100000000000001" customHeight="1" x14ac:dyDescent="0.3">
      <c r="X579" s="1"/>
      <c r="Y579" s="1"/>
    </row>
    <row r="580" spans="24:25" ht="20.100000000000001" customHeight="1" x14ac:dyDescent="0.3">
      <c r="X580" s="1"/>
      <c r="Y580" s="1"/>
    </row>
    <row r="581" spans="24:25" ht="20.100000000000001" customHeight="1" x14ac:dyDescent="0.3">
      <c r="X581" s="1"/>
      <c r="Y581" s="1"/>
    </row>
    <row r="582" spans="24:25" ht="20.100000000000001" customHeight="1" x14ac:dyDescent="0.3">
      <c r="X582" s="1"/>
      <c r="Y582" s="1"/>
    </row>
    <row r="583" spans="24:25" ht="20.100000000000001" customHeight="1" x14ac:dyDescent="0.3">
      <c r="X583" s="1"/>
      <c r="Y583" s="1"/>
    </row>
    <row r="584" spans="24:25" ht="20.100000000000001" customHeight="1" x14ac:dyDescent="0.3">
      <c r="X584" s="1"/>
      <c r="Y584" s="1"/>
    </row>
    <row r="585" spans="24:25" ht="20.100000000000001" customHeight="1" x14ac:dyDescent="0.3">
      <c r="X585" s="1"/>
      <c r="Y585" s="1"/>
    </row>
    <row r="586" spans="24:25" ht="20.100000000000001" customHeight="1" x14ac:dyDescent="0.3">
      <c r="X586" s="1"/>
      <c r="Y586" s="1"/>
    </row>
    <row r="587" spans="24:25" ht="20.100000000000001" customHeight="1" x14ac:dyDescent="0.3">
      <c r="X587" s="1"/>
      <c r="Y587" s="1"/>
    </row>
    <row r="588" spans="24:25" ht="20.100000000000001" customHeight="1" x14ac:dyDescent="0.3">
      <c r="X588" s="1"/>
      <c r="Y588" s="1"/>
    </row>
    <row r="589" spans="24:25" ht="20.100000000000001" customHeight="1" x14ac:dyDescent="0.3">
      <c r="X589" s="1"/>
      <c r="Y589" s="1"/>
    </row>
    <row r="590" spans="24:25" ht="20.100000000000001" customHeight="1" x14ac:dyDescent="0.3">
      <c r="X590" s="1"/>
      <c r="Y590" s="1"/>
    </row>
    <row r="591" spans="24:25" ht="20.100000000000001" customHeight="1" x14ac:dyDescent="0.3">
      <c r="X591" s="1"/>
      <c r="Y591" s="1"/>
    </row>
    <row r="592" spans="24:25" ht="20.100000000000001" customHeight="1" x14ac:dyDescent="0.3">
      <c r="X592" s="1"/>
      <c r="Y592" s="1"/>
    </row>
    <row r="593" spans="24:25" ht="20.100000000000001" customHeight="1" x14ac:dyDescent="0.3">
      <c r="X593" s="1"/>
      <c r="Y593" s="1"/>
    </row>
    <row r="594" spans="24:25" ht="20.100000000000001" customHeight="1" x14ac:dyDescent="0.3">
      <c r="X594" s="1"/>
      <c r="Y594" s="1"/>
    </row>
    <row r="595" spans="24:25" ht="20.100000000000001" customHeight="1" x14ac:dyDescent="0.3">
      <c r="X595" s="1"/>
      <c r="Y595" s="1"/>
    </row>
    <row r="596" spans="24:25" ht="20.100000000000001" customHeight="1" x14ac:dyDescent="0.3">
      <c r="X596" s="1"/>
      <c r="Y596" s="1"/>
    </row>
    <row r="597" spans="24:25" ht="20.100000000000001" customHeight="1" x14ac:dyDescent="0.3">
      <c r="X597" s="1"/>
      <c r="Y597" s="1"/>
    </row>
    <row r="598" spans="24:25" ht="20.100000000000001" customHeight="1" x14ac:dyDescent="0.3">
      <c r="X598" s="1"/>
      <c r="Y598" s="1"/>
    </row>
    <row r="599" spans="24:25" ht="20.100000000000001" customHeight="1" x14ac:dyDescent="0.3">
      <c r="X599" s="1"/>
      <c r="Y599" s="1"/>
    </row>
    <row r="600" spans="24:25" ht="20.100000000000001" customHeight="1" x14ac:dyDescent="0.3">
      <c r="X600" s="1"/>
      <c r="Y600" s="1"/>
    </row>
    <row r="601" spans="24:25" ht="20.100000000000001" customHeight="1" x14ac:dyDescent="0.3">
      <c r="X601" s="1"/>
      <c r="Y601" s="1"/>
    </row>
    <row r="602" spans="24:25" ht="20.100000000000001" customHeight="1" x14ac:dyDescent="0.3">
      <c r="X602" s="1"/>
      <c r="Y602" s="1"/>
    </row>
    <row r="603" spans="24:25" ht="20.100000000000001" customHeight="1" x14ac:dyDescent="0.3">
      <c r="X603" s="1"/>
      <c r="Y603" s="1"/>
    </row>
    <row r="604" spans="24:25" ht="20.100000000000001" customHeight="1" x14ac:dyDescent="0.3">
      <c r="X604" s="1"/>
      <c r="Y604" s="1"/>
    </row>
    <row r="605" spans="24:25" ht="20.100000000000001" customHeight="1" x14ac:dyDescent="0.3">
      <c r="X605" s="1"/>
      <c r="Y605" s="1"/>
    </row>
    <row r="606" spans="24:25" ht="20.100000000000001" customHeight="1" x14ac:dyDescent="0.3">
      <c r="X606" s="1"/>
      <c r="Y606" s="1"/>
    </row>
    <row r="607" spans="24:25" ht="20.100000000000001" customHeight="1" x14ac:dyDescent="0.3">
      <c r="X607" s="1"/>
      <c r="Y607" s="1"/>
    </row>
    <row r="608" spans="24:25" ht="20.100000000000001" customHeight="1" x14ac:dyDescent="0.3">
      <c r="X608" s="1"/>
      <c r="Y608" s="1"/>
    </row>
    <row r="609" spans="24:25" ht="20.100000000000001" customHeight="1" x14ac:dyDescent="0.3">
      <c r="X609" s="1"/>
      <c r="Y609" s="1"/>
    </row>
    <row r="610" spans="24:25" ht="20.100000000000001" customHeight="1" x14ac:dyDescent="0.3">
      <c r="X610" s="1"/>
      <c r="Y610" s="1"/>
    </row>
    <row r="611" spans="24:25" ht="20.100000000000001" customHeight="1" x14ac:dyDescent="0.3">
      <c r="X611" s="1"/>
      <c r="Y611" s="1"/>
    </row>
    <row r="612" spans="24:25" ht="20.100000000000001" customHeight="1" x14ac:dyDescent="0.3">
      <c r="X612" s="1"/>
      <c r="Y612" s="1"/>
    </row>
    <row r="613" spans="24:25" ht="20.100000000000001" customHeight="1" x14ac:dyDescent="0.3">
      <c r="X613" s="1"/>
      <c r="Y613" s="1"/>
    </row>
    <row r="614" spans="24:25" ht="20.100000000000001" customHeight="1" x14ac:dyDescent="0.3">
      <c r="X614" s="1"/>
      <c r="Y614" s="1"/>
    </row>
    <row r="615" spans="24:25" ht="20.100000000000001" customHeight="1" x14ac:dyDescent="0.3">
      <c r="X615" s="1"/>
      <c r="Y615" s="1"/>
    </row>
    <row r="616" spans="24:25" ht="20.100000000000001" customHeight="1" x14ac:dyDescent="0.3">
      <c r="X616" s="1"/>
      <c r="Y616" s="1"/>
    </row>
    <row r="617" spans="24:25" ht="20.100000000000001" customHeight="1" x14ac:dyDescent="0.3">
      <c r="X617" s="1"/>
      <c r="Y617" s="1"/>
    </row>
    <row r="618" spans="24:25" ht="20.100000000000001" customHeight="1" x14ac:dyDescent="0.3">
      <c r="X618" s="1"/>
      <c r="Y618" s="1"/>
    </row>
    <row r="619" spans="24:25" ht="20.100000000000001" customHeight="1" x14ac:dyDescent="0.3">
      <c r="X619" s="1"/>
      <c r="Y619" s="1"/>
    </row>
    <row r="620" spans="24:25" ht="20.100000000000001" customHeight="1" x14ac:dyDescent="0.3">
      <c r="X620" s="1"/>
      <c r="Y620" s="1"/>
    </row>
    <row r="621" spans="24:25" ht="20.100000000000001" customHeight="1" x14ac:dyDescent="0.3">
      <c r="X621" s="1"/>
      <c r="Y621" s="1"/>
    </row>
    <row r="622" spans="24:25" ht="20.100000000000001" customHeight="1" x14ac:dyDescent="0.3">
      <c r="X622" s="1"/>
      <c r="Y622" s="1"/>
    </row>
    <row r="623" spans="24:25" ht="20.100000000000001" customHeight="1" x14ac:dyDescent="0.3">
      <c r="X623" s="1"/>
      <c r="Y623" s="1"/>
    </row>
    <row r="624" spans="24:25" ht="20.100000000000001" customHeight="1" x14ac:dyDescent="0.3">
      <c r="X624" s="1"/>
      <c r="Y624" s="1"/>
    </row>
    <row r="625" spans="24:25" ht="20.100000000000001" customHeight="1" x14ac:dyDescent="0.3">
      <c r="X625" s="1"/>
      <c r="Y625" s="1"/>
    </row>
    <row r="626" spans="24:25" ht="20.100000000000001" customHeight="1" x14ac:dyDescent="0.3">
      <c r="X626" s="1"/>
      <c r="Y626" s="1"/>
    </row>
    <row r="627" spans="24:25" ht="20.100000000000001" customHeight="1" x14ac:dyDescent="0.3">
      <c r="X627" s="1"/>
      <c r="Y627" s="1"/>
    </row>
    <row r="628" spans="24:25" ht="20.100000000000001" customHeight="1" x14ac:dyDescent="0.3">
      <c r="X628" s="1"/>
      <c r="Y628" s="1"/>
    </row>
    <row r="629" spans="24:25" ht="20.100000000000001" customHeight="1" x14ac:dyDescent="0.3">
      <c r="X629" s="1"/>
      <c r="Y629" s="1"/>
    </row>
    <row r="630" spans="24:25" ht="20.100000000000001" customHeight="1" x14ac:dyDescent="0.3">
      <c r="X630" s="1"/>
      <c r="Y630" s="1"/>
    </row>
    <row r="631" spans="24:25" ht="20.100000000000001" customHeight="1" x14ac:dyDescent="0.3">
      <c r="X631" s="1"/>
      <c r="Y631" s="1"/>
    </row>
    <row r="632" spans="24:25" ht="20.100000000000001" customHeight="1" x14ac:dyDescent="0.3">
      <c r="X632" s="1"/>
      <c r="Y632" s="1"/>
    </row>
    <row r="633" spans="24:25" ht="20.100000000000001" customHeight="1" x14ac:dyDescent="0.3">
      <c r="X633" s="1"/>
      <c r="Y633" s="1"/>
    </row>
    <row r="634" spans="24:25" ht="20.100000000000001" customHeight="1" x14ac:dyDescent="0.3">
      <c r="X634" s="1"/>
      <c r="Y634" s="1"/>
    </row>
    <row r="635" spans="24:25" ht="20.100000000000001" customHeight="1" x14ac:dyDescent="0.3">
      <c r="X635" s="1"/>
      <c r="Y635" s="1"/>
    </row>
    <row r="636" spans="24:25" ht="20.100000000000001" customHeight="1" x14ac:dyDescent="0.3">
      <c r="X636" s="1"/>
      <c r="Y636" s="1"/>
    </row>
    <row r="637" spans="24:25" ht="20.100000000000001" customHeight="1" x14ac:dyDescent="0.3">
      <c r="X637" s="1"/>
      <c r="Y637" s="1"/>
    </row>
    <row r="638" spans="24:25" ht="20.100000000000001" customHeight="1" x14ac:dyDescent="0.3">
      <c r="X638" s="1"/>
      <c r="Y638" s="1"/>
    </row>
    <row r="639" spans="24:25" ht="20.100000000000001" customHeight="1" x14ac:dyDescent="0.3">
      <c r="X639" s="1"/>
      <c r="Y639" s="1"/>
    </row>
    <row r="640" spans="24:25" ht="20.100000000000001" customHeight="1" x14ac:dyDescent="0.3">
      <c r="X640" s="1"/>
      <c r="Y640" s="1"/>
    </row>
    <row r="641" spans="24:25" ht="20.100000000000001" customHeight="1" x14ac:dyDescent="0.3">
      <c r="X641" s="1"/>
      <c r="Y641" s="1"/>
    </row>
    <row r="642" spans="24:25" ht="20.100000000000001" customHeight="1" x14ac:dyDescent="0.3">
      <c r="X642" s="1"/>
      <c r="Y642" s="1"/>
    </row>
    <row r="643" spans="24:25" ht="20.100000000000001" customHeight="1" x14ac:dyDescent="0.3">
      <c r="X643" s="1"/>
      <c r="Y643" s="1"/>
    </row>
    <row r="644" spans="24:25" ht="20.100000000000001" customHeight="1" x14ac:dyDescent="0.3">
      <c r="X644" s="1"/>
      <c r="Y644" s="1"/>
    </row>
    <row r="645" spans="24:25" ht="20.100000000000001" customHeight="1" x14ac:dyDescent="0.3">
      <c r="X645" s="1"/>
      <c r="Y645" s="1"/>
    </row>
    <row r="646" spans="24:25" ht="20.100000000000001" customHeight="1" x14ac:dyDescent="0.3">
      <c r="X646" s="1"/>
      <c r="Y646" s="1"/>
    </row>
    <row r="647" spans="24:25" ht="20.100000000000001" customHeight="1" x14ac:dyDescent="0.3">
      <c r="X647" s="1"/>
      <c r="Y647" s="1"/>
    </row>
    <row r="648" spans="24:25" ht="20.100000000000001" customHeight="1" x14ac:dyDescent="0.3">
      <c r="X648" s="1"/>
      <c r="Y648" s="1"/>
    </row>
    <row r="649" spans="24:25" ht="20.100000000000001" customHeight="1" x14ac:dyDescent="0.3">
      <c r="X649" s="1"/>
      <c r="Y649" s="1"/>
    </row>
    <row r="650" spans="24:25" ht="20.100000000000001" customHeight="1" x14ac:dyDescent="0.3">
      <c r="X650" s="1"/>
      <c r="Y650" s="1"/>
    </row>
    <row r="651" spans="24:25" ht="20.100000000000001" customHeight="1" x14ac:dyDescent="0.3">
      <c r="X651" s="1"/>
      <c r="Y651" s="1"/>
    </row>
    <row r="652" spans="24:25" ht="20.100000000000001" customHeight="1" x14ac:dyDescent="0.3">
      <c r="X652" s="1"/>
      <c r="Y652" s="1"/>
    </row>
    <row r="653" spans="24:25" ht="20.100000000000001" customHeight="1" x14ac:dyDescent="0.3">
      <c r="X653" s="1"/>
      <c r="Y653" s="1"/>
    </row>
    <row r="654" spans="24:25" ht="20.100000000000001" customHeight="1" x14ac:dyDescent="0.3">
      <c r="X654" s="1"/>
      <c r="Y654" s="1"/>
    </row>
    <row r="655" spans="24:25" ht="20.100000000000001" customHeight="1" x14ac:dyDescent="0.3">
      <c r="X655" s="1"/>
      <c r="Y655" s="1"/>
    </row>
    <row r="656" spans="24:25" ht="20.100000000000001" customHeight="1" x14ac:dyDescent="0.3">
      <c r="X656" s="1"/>
      <c r="Y656" s="1"/>
    </row>
    <row r="657" spans="24:25" ht="20.100000000000001" customHeight="1" x14ac:dyDescent="0.3">
      <c r="X657" s="1"/>
      <c r="Y657" s="1"/>
    </row>
    <row r="658" spans="24:25" ht="20.100000000000001" customHeight="1" x14ac:dyDescent="0.3">
      <c r="X658" s="1"/>
      <c r="Y658" s="1"/>
    </row>
    <row r="659" spans="24:25" ht="20.100000000000001" customHeight="1" x14ac:dyDescent="0.3">
      <c r="X659" s="1"/>
      <c r="Y659" s="1"/>
    </row>
    <row r="660" spans="24:25" ht="20.100000000000001" customHeight="1" x14ac:dyDescent="0.3">
      <c r="X660" s="1"/>
      <c r="Y660" s="1"/>
    </row>
    <row r="661" spans="24:25" ht="20.100000000000001" customHeight="1" x14ac:dyDescent="0.3">
      <c r="X661" s="1"/>
      <c r="Y661" s="1"/>
    </row>
    <row r="662" spans="24:25" ht="20.100000000000001" customHeight="1" x14ac:dyDescent="0.3">
      <c r="X662" s="1"/>
      <c r="Y662" s="1"/>
    </row>
    <row r="663" spans="24:25" ht="20.100000000000001" customHeight="1" x14ac:dyDescent="0.3">
      <c r="X663" s="1"/>
      <c r="Y663" s="1"/>
    </row>
    <row r="664" spans="24:25" ht="20.100000000000001" customHeight="1" x14ac:dyDescent="0.3">
      <c r="X664" s="1"/>
      <c r="Y664" s="1"/>
    </row>
    <row r="665" spans="24:25" ht="20.100000000000001" customHeight="1" x14ac:dyDescent="0.3">
      <c r="X665" s="1"/>
      <c r="Y665" s="1"/>
    </row>
    <row r="666" spans="24:25" ht="20.100000000000001" customHeight="1" x14ac:dyDescent="0.3">
      <c r="X666" s="1"/>
      <c r="Y666" s="1"/>
    </row>
    <row r="667" spans="24:25" ht="20.100000000000001" customHeight="1" x14ac:dyDescent="0.3">
      <c r="X667" s="1"/>
      <c r="Y667" s="1"/>
    </row>
    <row r="668" spans="24:25" ht="20.100000000000001" customHeight="1" x14ac:dyDescent="0.3">
      <c r="X668" s="1"/>
      <c r="Y668" s="1"/>
    </row>
    <row r="669" spans="24:25" ht="20.100000000000001" customHeight="1" x14ac:dyDescent="0.3">
      <c r="X669" s="1"/>
      <c r="Y669" s="1"/>
    </row>
    <row r="670" spans="24:25" ht="20.100000000000001" customHeight="1" x14ac:dyDescent="0.3">
      <c r="X670" s="1"/>
      <c r="Y670" s="1"/>
    </row>
    <row r="671" spans="24:25" ht="20.100000000000001" customHeight="1" x14ac:dyDescent="0.3">
      <c r="X671" s="1"/>
      <c r="Y671" s="1"/>
    </row>
    <row r="672" spans="24:25" ht="20.100000000000001" customHeight="1" x14ac:dyDescent="0.3">
      <c r="X672" s="1"/>
      <c r="Y672" s="1"/>
    </row>
    <row r="673" spans="24:25" ht="20.100000000000001" customHeight="1" x14ac:dyDescent="0.3">
      <c r="X673" s="1"/>
      <c r="Y673" s="1"/>
    </row>
    <row r="674" spans="24:25" ht="20.100000000000001" customHeight="1" x14ac:dyDescent="0.3">
      <c r="X674" s="1"/>
      <c r="Y674" s="1"/>
    </row>
    <row r="675" spans="24:25" ht="20.100000000000001" customHeight="1" x14ac:dyDescent="0.3">
      <c r="X675" s="1"/>
      <c r="Y675" s="1"/>
    </row>
    <row r="676" spans="24:25" ht="20.100000000000001" customHeight="1" x14ac:dyDescent="0.3">
      <c r="X676" s="1"/>
      <c r="Y676" s="1"/>
    </row>
    <row r="677" spans="24:25" ht="20.100000000000001" customHeight="1" x14ac:dyDescent="0.3">
      <c r="X677" s="1"/>
      <c r="Y677" s="1"/>
    </row>
    <row r="678" spans="24:25" ht="20.100000000000001" customHeight="1" x14ac:dyDescent="0.3">
      <c r="X678" s="1"/>
      <c r="Y678" s="1"/>
    </row>
    <row r="679" spans="24:25" ht="20.100000000000001" customHeight="1" x14ac:dyDescent="0.3">
      <c r="X679" s="1"/>
      <c r="Y679" s="1"/>
    </row>
    <row r="680" spans="24:25" ht="20.100000000000001" customHeight="1" x14ac:dyDescent="0.3">
      <c r="X680" s="1"/>
      <c r="Y680" s="1"/>
    </row>
    <row r="681" spans="24:25" ht="20.100000000000001" customHeight="1" x14ac:dyDescent="0.3">
      <c r="X681" s="1"/>
      <c r="Y681" s="1"/>
    </row>
    <row r="682" spans="24:25" ht="20.100000000000001" customHeight="1" x14ac:dyDescent="0.3">
      <c r="X682" s="1"/>
      <c r="Y682" s="1"/>
    </row>
    <row r="683" spans="24:25" ht="20.100000000000001" customHeight="1" x14ac:dyDescent="0.3">
      <c r="X683" s="1"/>
      <c r="Y683" s="1"/>
    </row>
    <row r="684" spans="24:25" ht="20.100000000000001" customHeight="1" x14ac:dyDescent="0.3">
      <c r="X684" s="1"/>
      <c r="Y684" s="1"/>
    </row>
    <row r="685" spans="24:25" ht="20.100000000000001" customHeight="1" x14ac:dyDescent="0.3">
      <c r="X685" s="1"/>
      <c r="Y685" s="1"/>
    </row>
    <row r="686" spans="24:25" ht="20.100000000000001" customHeight="1" x14ac:dyDescent="0.3">
      <c r="X686" s="1"/>
      <c r="Y686" s="1"/>
    </row>
    <row r="687" spans="24:25" ht="20.100000000000001" customHeight="1" x14ac:dyDescent="0.3">
      <c r="X687" s="1"/>
      <c r="Y687" s="1"/>
    </row>
    <row r="688" spans="24:25" ht="20.100000000000001" customHeight="1" x14ac:dyDescent="0.3">
      <c r="X688" s="1"/>
      <c r="Y688" s="1"/>
    </row>
    <row r="689" spans="24:25" ht="20.100000000000001" customHeight="1" x14ac:dyDescent="0.3">
      <c r="X689" s="1"/>
      <c r="Y689" s="1"/>
    </row>
    <row r="690" spans="24:25" ht="20.100000000000001" customHeight="1" x14ac:dyDescent="0.3">
      <c r="X690" s="1"/>
      <c r="Y690" s="1"/>
    </row>
    <row r="691" spans="24:25" ht="20.100000000000001" customHeight="1" x14ac:dyDescent="0.3">
      <c r="X691" s="1"/>
      <c r="Y691" s="1"/>
    </row>
    <row r="692" spans="24:25" ht="20.100000000000001" customHeight="1" x14ac:dyDescent="0.3">
      <c r="X692" s="1"/>
      <c r="Y692" s="1"/>
    </row>
    <row r="693" spans="24:25" ht="20.100000000000001" customHeight="1" x14ac:dyDescent="0.3">
      <c r="X693" s="1"/>
      <c r="Y693" s="1"/>
    </row>
    <row r="694" spans="24:25" ht="20.100000000000001" customHeight="1" x14ac:dyDescent="0.3">
      <c r="X694" s="1"/>
      <c r="Y694" s="1"/>
    </row>
    <row r="695" spans="24:25" ht="20.100000000000001" customHeight="1" x14ac:dyDescent="0.3">
      <c r="X695" s="1"/>
      <c r="Y695" s="1"/>
    </row>
    <row r="696" spans="24:25" ht="20.100000000000001" customHeight="1" x14ac:dyDescent="0.3">
      <c r="X696" s="1"/>
      <c r="Y696" s="1"/>
    </row>
    <row r="697" spans="24:25" ht="20.100000000000001" customHeight="1" x14ac:dyDescent="0.3">
      <c r="X697" s="1"/>
      <c r="Y697" s="1"/>
    </row>
    <row r="698" spans="24:25" ht="20.100000000000001" customHeight="1" x14ac:dyDescent="0.3">
      <c r="X698" s="1"/>
      <c r="Y698" s="1"/>
    </row>
    <row r="699" spans="24:25" ht="20.100000000000001" customHeight="1" x14ac:dyDescent="0.3">
      <c r="X699" s="1"/>
      <c r="Y699" s="1"/>
    </row>
    <row r="700" spans="24:25" ht="20.100000000000001" customHeight="1" x14ac:dyDescent="0.3">
      <c r="X700" s="1"/>
      <c r="Y700" s="1"/>
    </row>
    <row r="701" spans="24:25" ht="20.100000000000001" customHeight="1" x14ac:dyDescent="0.3">
      <c r="X701" s="1"/>
      <c r="Y701" s="1"/>
    </row>
    <row r="702" spans="24:25" ht="20.100000000000001" customHeight="1" x14ac:dyDescent="0.3">
      <c r="X702" s="1"/>
      <c r="Y702" s="1"/>
    </row>
    <row r="703" spans="24:25" ht="20.100000000000001" customHeight="1" x14ac:dyDescent="0.3">
      <c r="X703" s="1"/>
      <c r="Y703" s="1"/>
    </row>
    <row r="704" spans="24:25" ht="20.100000000000001" customHeight="1" x14ac:dyDescent="0.3">
      <c r="X704" s="1"/>
      <c r="Y704" s="1"/>
    </row>
    <row r="705" spans="24:25" ht="20.100000000000001" customHeight="1" x14ac:dyDescent="0.3">
      <c r="X705" s="1"/>
      <c r="Y705" s="1"/>
    </row>
    <row r="706" spans="24:25" ht="20.100000000000001" customHeight="1" x14ac:dyDescent="0.3">
      <c r="X706" s="1"/>
      <c r="Y706" s="1"/>
    </row>
    <row r="707" spans="24:25" ht="20.100000000000001" customHeight="1" x14ac:dyDescent="0.3">
      <c r="X707" s="1"/>
      <c r="Y707" s="1"/>
    </row>
    <row r="708" spans="24:25" ht="20.100000000000001" customHeight="1" x14ac:dyDescent="0.3">
      <c r="X708" s="1"/>
      <c r="Y708" s="1"/>
    </row>
    <row r="709" spans="24:25" ht="20.100000000000001" customHeight="1" x14ac:dyDescent="0.3">
      <c r="X709" s="1"/>
      <c r="Y709" s="1"/>
    </row>
    <row r="710" spans="24:25" ht="20.100000000000001" customHeight="1" x14ac:dyDescent="0.3">
      <c r="X710" s="1"/>
      <c r="Y710" s="1"/>
    </row>
    <row r="711" spans="24:25" ht="20.100000000000001" customHeight="1" x14ac:dyDescent="0.3">
      <c r="X711" s="1"/>
      <c r="Y711" s="1"/>
    </row>
    <row r="712" spans="24:25" ht="20.100000000000001" customHeight="1" x14ac:dyDescent="0.3">
      <c r="X712" s="1"/>
      <c r="Y712" s="1"/>
    </row>
    <row r="713" spans="24:25" ht="20.100000000000001" customHeight="1" x14ac:dyDescent="0.3">
      <c r="X713" s="1"/>
      <c r="Y713" s="1"/>
    </row>
    <row r="714" spans="24:25" ht="20.100000000000001" customHeight="1" x14ac:dyDescent="0.3">
      <c r="X714" s="1"/>
      <c r="Y714" s="1"/>
    </row>
    <row r="715" spans="24:25" ht="20.100000000000001" customHeight="1" x14ac:dyDescent="0.3">
      <c r="X715" s="1"/>
      <c r="Y715" s="1"/>
    </row>
    <row r="716" spans="24:25" ht="20.100000000000001" customHeight="1" x14ac:dyDescent="0.3">
      <c r="X716" s="1"/>
      <c r="Y716" s="1"/>
    </row>
    <row r="717" spans="24:25" ht="20.100000000000001" customHeight="1" x14ac:dyDescent="0.3">
      <c r="X717" s="1"/>
      <c r="Y717" s="1"/>
    </row>
    <row r="718" spans="24:25" ht="20.100000000000001" customHeight="1" x14ac:dyDescent="0.3">
      <c r="X718" s="1"/>
      <c r="Y718" s="1"/>
    </row>
    <row r="719" spans="24:25" ht="20.100000000000001" customHeight="1" x14ac:dyDescent="0.3">
      <c r="X719" s="1"/>
      <c r="Y719" s="1"/>
    </row>
    <row r="720" spans="24:25" ht="20.100000000000001" customHeight="1" x14ac:dyDescent="0.3">
      <c r="X720" s="1"/>
      <c r="Y720" s="1"/>
    </row>
    <row r="721" spans="24:25" ht="20.100000000000001" customHeight="1" x14ac:dyDescent="0.3">
      <c r="X721" s="1"/>
      <c r="Y721" s="1"/>
    </row>
    <row r="722" spans="24:25" ht="20.100000000000001" customHeight="1" x14ac:dyDescent="0.3">
      <c r="X722" s="1"/>
      <c r="Y722" s="1"/>
    </row>
    <row r="723" spans="24:25" ht="20.100000000000001" customHeight="1" x14ac:dyDescent="0.3">
      <c r="X723" s="1"/>
      <c r="Y723" s="1"/>
    </row>
    <row r="724" spans="24:25" ht="20.100000000000001" customHeight="1" x14ac:dyDescent="0.3">
      <c r="X724" s="1"/>
      <c r="Y724" s="1"/>
    </row>
    <row r="725" spans="24:25" ht="20.100000000000001" customHeight="1" x14ac:dyDescent="0.3">
      <c r="X725" s="1"/>
      <c r="Y725" s="1"/>
    </row>
    <row r="726" spans="24:25" ht="20.100000000000001" customHeight="1" x14ac:dyDescent="0.3">
      <c r="X726" s="1"/>
      <c r="Y726" s="1"/>
    </row>
    <row r="727" spans="24:25" ht="20.100000000000001" customHeight="1" x14ac:dyDescent="0.3">
      <c r="X727" s="1"/>
      <c r="Y727" s="1"/>
    </row>
    <row r="728" spans="24:25" ht="20.100000000000001" customHeight="1" x14ac:dyDescent="0.3">
      <c r="X728" s="1"/>
      <c r="Y728" s="1"/>
    </row>
    <row r="729" spans="24:25" ht="20.100000000000001" customHeight="1" x14ac:dyDescent="0.3">
      <c r="X729" s="1"/>
      <c r="Y729" s="1"/>
    </row>
    <row r="730" spans="24:25" ht="20.100000000000001" customHeight="1" x14ac:dyDescent="0.3">
      <c r="X730" s="1"/>
      <c r="Y730" s="1"/>
    </row>
    <row r="731" spans="24:25" ht="20.100000000000001" customHeight="1" x14ac:dyDescent="0.3">
      <c r="X731" s="1"/>
      <c r="Y731" s="1"/>
    </row>
    <row r="732" spans="24:25" ht="20.100000000000001" customHeight="1" x14ac:dyDescent="0.3">
      <c r="X732" s="1"/>
      <c r="Y732" s="1"/>
    </row>
    <row r="733" spans="24:25" ht="20.100000000000001" customHeight="1" x14ac:dyDescent="0.3">
      <c r="X733" s="1"/>
      <c r="Y733" s="1"/>
    </row>
    <row r="734" spans="24:25" ht="20.100000000000001" customHeight="1" x14ac:dyDescent="0.3">
      <c r="X734" s="1"/>
      <c r="Y734" s="1"/>
    </row>
    <row r="735" spans="24:25" ht="20.100000000000001" customHeight="1" x14ac:dyDescent="0.3">
      <c r="X735" s="1"/>
      <c r="Y735" s="1"/>
    </row>
    <row r="736" spans="24:25" ht="20.100000000000001" customHeight="1" x14ac:dyDescent="0.3">
      <c r="X736" s="1"/>
      <c r="Y736" s="1"/>
    </row>
    <row r="737" spans="24:25" ht="20.100000000000001" customHeight="1" x14ac:dyDescent="0.3">
      <c r="X737" s="1"/>
      <c r="Y737" s="1"/>
    </row>
    <row r="738" spans="24:25" ht="20.100000000000001" customHeight="1" x14ac:dyDescent="0.3">
      <c r="X738" s="1"/>
      <c r="Y738" s="1"/>
    </row>
    <row r="739" spans="24:25" ht="20.100000000000001" customHeight="1" x14ac:dyDescent="0.3">
      <c r="X739" s="1"/>
      <c r="Y739" s="1"/>
    </row>
    <row r="740" spans="24:25" ht="20.100000000000001" customHeight="1" x14ac:dyDescent="0.3">
      <c r="X740" s="1"/>
      <c r="Y740" s="1"/>
    </row>
    <row r="741" spans="24:25" ht="20.100000000000001" customHeight="1" x14ac:dyDescent="0.3">
      <c r="X741" s="1"/>
      <c r="Y741" s="1"/>
    </row>
    <row r="742" spans="24:25" ht="20.100000000000001" customHeight="1" x14ac:dyDescent="0.3">
      <c r="X742" s="1"/>
      <c r="Y742" s="1"/>
    </row>
    <row r="743" spans="24:25" ht="20.100000000000001" customHeight="1" x14ac:dyDescent="0.3">
      <c r="X743" s="1"/>
      <c r="Y743" s="1"/>
    </row>
    <row r="744" spans="24:25" ht="20.100000000000001" customHeight="1" x14ac:dyDescent="0.3">
      <c r="X744" s="1"/>
      <c r="Y744" s="1"/>
    </row>
    <row r="745" spans="24:25" ht="20.100000000000001" customHeight="1" x14ac:dyDescent="0.3">
      <c r="X745" s="1"/>
      <c r="Y745" s="1"/>
    </row>
    <row r="746" spans="24:25" ht="20.100000000000001" customHeight="1" x14ac:dyDescent="0.3">
      <c r="X746" s="1"/>
      <c r="Y746" s="1"/>
    </row>
    <row r="747" spans="24:25" ht="20.100000000000001" customHeight="1" x14ac:dyDescent="0.3">
      <c r="X747" s="1"/>
      <c r="Y747" s="1"/>
    </row>
    <row r="748" spans="24:25" ht="20.100000000000001" customHeight="1" x14ac:dyDescent="0.3">
      <c r="X748" s="1"/>
      <c r="Y748" s="1"/>
    </row>
    <row r="749" spans="24:25" ht="20.100000000000001" customHeight="1" x14ac:dyDescent="0.3">
      <c r="X749" s="1"/>
      <c r="Y749" s="1"/>
    </row>
    <row r="750" spans="24:25" ht="20.100000000000001" customHeight="1" x14ac:dyDescent="0.3">
      <c r="X750" s="1"/>
      <c r="Y750" s="1"/>
    </row>
    <row r="751" spans="24:25" ht="20.100000000000001" customHeight="1" x14ac:dyDescent="0.3">
      <c r="X751" s="1"/>
      <c r="Y751" s="1"/>
    </row>
    <row r="752" spans="24:25" ht="20.100000000000001" customHeight="1" x14ac:dyDescent="0.3">
      <c r="X752" s="1"/>
      <c r="Y752" s="1"/>
    </row>
    <row r="753" spans="24:25" ht="20.100000000000001" customHeight="1" x14ac:dyDescent="0.3">
      <c r="X753" s="1"/>
      <c r="Y753" s="1"/>
    </row>
    <row r="754" spans="24:25" ht="20.100000000000001" customHeight="1" x14ac:dyDescent="0.3">
      <c r="X754" s="1"/>
      <c r="Y754" s="1"/>
    </row>
    <row r="755" spans="24:25" ht="20.100000000000001" customHeight="1" x14ac:dyDescent="0.3">
      <c r="X755" s="1"/>
      <c r="Y755" s="1"/>
    </row>
    <row r="756" spans="24:25" ht="20.100000000000001" customHeight="1" x14ac:dyDescent="0.3">
      <c r="X756" s="1"/>
      <c r="Y756" s="1"/>
    </row>
    <row r="757" spans="24:25" ht="20.100000000000001" customHeight="1" x14ac:dyDescent="0.3">
      <c r="X757" s="1"/>
      <c r="Y757" s="1"/>
    </row>
    <row r="758" spans="24:25" ht="20.100000000000001" customHeight="1" x14ac:dyDescent="0.3">
      <c r="X758" s="1"/>
      <c r="Y758" s="1"/>
    </row>
    <row r="759" spans="24:25" ht="20.100000000000001" customHeight="1" x14ac:dyDescent="0.3">
      <c r="X759" s="1"/>
      <c r="Y759" s="1"/>
    </row>
    <row r="760" spans="24:25" ht="20.100000000000001" customHeight="1" x14ac:dyDescent="0.3">
      <c r="X760" s="1"/>
      <c r="Y760" s="1"/>
    </row>
    <row r="761" spans="24:25" ht="20.100000000000001" customHeight="1" x14ac:dyDescent="0.3">
      <c r="X761" s="1"/>
      <c r="Y761" s="1"/>
    </row>
    <row r="762" spans="24:25" ht="20.100000000000001" customHeight="1" x14ac:dyDescent="0.3">
      <c r="X762" s="1"/>
      <c r="Y762" s="1"/>
    </row>
    <row r="763" spans="24:25" ht="20.100000000000001" customHeight="1" x14ac:dyDescent="0.3">
      <c r="X763" s="1"/>
      <c r="Y763" s="1"/>
    </row>
    <row r="764" spans="24:25" ht="20.100000000000001" customHeight="1" x14ac:dyDescent="0.3">
      <c r="X764" s="1"/>
      <c r="Y764" s="1"/>
    </row>
    <row r="765" spans="24:25" ht="20.100000000000001" customHeight="1" x14ac:dyDescent="0.3">
      <c r="X765" s="1"/>
      <c r="Y765" s="1"/>
    </row>
    <row r="766" spans="24:25" ht="20.100000000000001" customHeight="1" x14ac:dyDescent="0.3">
      <c r="X766" s="1"/>
      <c r="Y766" s="1"/>
    </row>
    <row r="767" spans="24:25" ht="20.100000000000001" customHeight="1" x14ac:dyDescent="0.3">
      <c r="X767" s="1"/>
      <c r="Y767" s="1"/>
    </row>
    <row r="768" spans="24:25" ht="20.100000000000001" customHeight="1" x14ac:dyDescent="0.3">
      <c r="X768" s="1"/>
      <c r="Y768" s="1"/>
    </row>
    <row r="769" spans="24:25" ht="20.100000000000001" customHeight="1" x14ac:dyDescent="0.3">
      <c r="X769" s="1"/>
      <c r="Y769" s="1"/>
    </row>
    <row r="770" spans="24:25" ht="20.100000000000001" customHeight="1" x14ac:dyDescent="0.3">
      <c r="X770" s="1"/>
      <c r="Y770" s="1"/>
    </row>
    <row r="771" spans="24:25" ht="20.100000000000001" customHeight="1" x14ac:dyDescent="0.3">
      <c r="X771" s="1"/>
      <c r="Y771" s="1"/>
    </row>
    <row r="772" spans="24:25" ht="20.100000000000001" customHeight="1" x14ac:dyDescent="0.3">
      <c r="X772" s="1"/>
      <c r="Y772" s="1"/>
    </row>
    <row r="773" spans="24:25" ht="20.100000000000001" customHeight="1" x14ac:dyDescent="0.3">
      <c r="X773" s="1"/>
      <c r="Y773" s="1"/>
    </row>
    <row r="774" spans="24:25" ht="20.100000000000001" customHeight="1" x14ac:dyDescent="0.3">
      <c r="X774" s="1"/>
      <c r="Y774" s="1"/>
    </row>
    <row r="775" spans="24:25" ht="20.100000000000001" customHeight="1" x14ac:dyDescent="0.3">
      <c r="X775" s="1"/>
      <c r="Y775" s="1"/>
    </row>
    <row r="776" spans="24:25" ht="20.100000000000001" customHeight="1" x14ac:dyDescent="0.3">
      <c r="X776" s="1"/>
      <c r="Y776" s="1"/>
    </row>
    <row r="777" spans="24:25" ht="20.100000000000001" customHeight="1" x14ac:dyDescent="0.3">
      <c r="X777" s="1"/>
      <c r="Y777" s="1"/>
    </row>
    <row r="778" spans="24:25" ht="20.100000000000001" customHeight="1" x14ac:dyDescent="0.3">
      <c r="X778" s="1"/>
      <c r="Y778" s="1"/>
    </row>
    <row r="779" spans="24:25" ht="20.100000000000001" customHeight="1" x14ac:dyDescent="0.3">
      <c r="X779" s="1"/>
      <c r="Y779" s="1"/>
    </row>
    <row r="780" spans="24:25" ht="20.100000000000001" customHeight="1" x14ac:dyDescent="0.3">
      <c r="X780" s="1"/>
      <c r="Y780" s="1"/>
    </row>
    <row r="781" spans="24:25" ht="20.100000000000001" customHeight="1" x14ac:dyDescent="0.3">
      <c r="X781" s="1"/>
      <c r="Y781" s="1"/>
    </row>
    <row r="782" spans="24:25" ht="20.100000000000001" customHeight="1" x14ac:dyDescent="0.3">
      <c r="X782" s="1"/>
      <c r="Y782" s="1"/>
    </row>
    <row r="783" spans="24:25" ht="20.100000000000001" customHeight="1" x14ac:dyDescent="0.3">
      <c r="X783" s="1"/>
      <c r="Y783" s="1"/>
    </row>
    <row r="784" spans="24:25" ht="20.100000000000001" customHeight="1" x14ac:dyDescent="0.3">
      <c r="X784" s="1"/>
      <c r="Y784" s="1"/>
    </row>
    <row r="785" spans="24:25" ht="20.100000000000001" customHeight="1" x14ac:dyDescent="0.3">
      <c r="X785" s="1"/>
      <c r="Y785" s="1"/>
    </row>
    <row r="786" spans="24:25" ht="20.100000000000001" customHeight="1" x14ac:dyDescent="0.3">
      <c r="X786" s="1"/>
      <c r="Y786" s="1"/>
    </row>
    <row r="787" spans="24:25" ht="20.100000000000001" customHeight="1" x14ac:dyDescent="0.3">
      <c r="X787" s="1"/>
      <c r="Y787" s="1"/>
    </row>
    <row r="788" spans="24:25" ht="20.100000000000001" customHeight="1" x14ac:dyDescent="0.3">
      <c r="X788" s="1"/>
      <c r="Y788" s="1"/>
    </row>
    <row r="789" spans="24:25" ht="20.100000000000001" customHeight="1" x14ac:dyDescent="0.3">
      <c r="X789" s="1"/>
      <c r="Y789" s="1"/>
    </row>
    <row r="790" spans="24:25" ht="20.100000000000001" customHeight="1" x14ac:dyDescent="0.3">
      <c r="X790" s="1"/>
      <c r="Y790" s="1"/>
    </row>
    <row r="791" spans="24:25" ht="20.100000000000001" customHeight="1" x14ac:dyDescent="0.3">
      <c r="X791" s="1"/>
      <c r="Y791" s="1"/>
    </row>
    <row r="792" spans="24:25" ht="20.100000000000001" customHeight="1" x14ac:dyDescent="0.3">
      <c r="X792" s="1"/>
      <c r="Y792" s="1"/>
    </row>
    <row r="793" spans="24:25" ht="20.100000000000001" customHeight="1" x14ac:dyDescent="0.3">
      <c r="X793" s="1"/>
      <c r="Y793" s="1"/>
    </row>
    <row r="794" spans="24:25" ht="20.100000000000001" customHeight="1" x14ac:dyDescent="0.3">
      <c r="X794" s="1"/>
      <c r="Y794" s="1"/>
    </row>
    <row r="795" spans="24:25" ht="20.100000000000001" customHeight="1" x14ac:dyDescent="0.3">
      <c r="X795" s="1"/>
      <c r="Y795" s="1"/>
    </row>
    <row r="796" spans="24:25" ht="20.100000000000001" customHeight="1" x14ac:dyDescent="0.3">
      <c r="X796" s="1"/>
      <c r="Y796" s="1"/>
    </row>
    <row r="797" spans="24:25" ht="20.100000000000001" customHeight="1" x14ac:dyDescent="0.3">
      <c r="X797" s="1"/>
      <c r="Y797" s="1"/>
    </row>
    <row r="798" spans="24:25" ht="20.100000000000001" customHeight="1" x14ac:dyDescent="0.3">
      <c r="X798" s="1"/>
      <c r="Y798" s="1"/>
    </row>
    <row r="799" spans="24:25" ht="20.100000000000001" customHeight="1" x14ac:dyDescent="0.3">
      <c r="X799" s="1"/>
      <c r="Y799" s="1"/>
    </row>
    <row r="800" spans="24:25" ht="20.100000000000001" customHeight="1" x14ac:dyDescent="0.3">
      <c r="X800" s="1"/>
      <c r="Y800" s="1"/>
    </row>
    <row r="801" spans="24:25" ht="20.100000000000001" customHeight="1" x14ac:dyDescent="0.3">
      <c r="X801" s="1"/>
      <c r="Y801" s="1"/>
    </row>
    <row r="802" spans="24:25" ht="20.100000000000001" customHeight="1" x14ac:dyDescent="0.3">
      <c r="X802" s="1"/>
      <c r="Y802" s="1"/>
    </row>
    <row r="803" spans="24:25" ht="20.100000000000001" customHeight="1" x14ac:dyDescent="0.3">
      <c r="X803" s="1"/>
      <c r="Y803" s="1"/>
    </row>
    <row r="804" spans="24:25" ht="20.100000000000001" customHeight="1" x14ac:dyDescent="0.3">
      <c r="X804" s="1"/>
      <c r="Y804" s="1"/>
    </row>
    <row r="805" spans="24:25" ht="20.100000000000001" customHeight="1" x14ac:dyDescent="0.3">
      <c r="X805" s="1"/>
      <c r="Y805" s="1"/>
    </row>
    <row r="806" spans="24:25" ht="20.100000000000001" customHeight="1" x14ac:dyDescent="0.3">
      <c r="X806" s="1"/>
      <c r="Y806" s="1"/>
    </row>
    <row r="807" spans="24:25" ht="20.100000000000001" customHeight="1" x14ac:dyDescent="0.3">
      <c r="X807" s="1"/>
      <c r="Y807" s="1"/>
    </row>
    <row r="808" spans="24:25" ht="20.100000000000001" customHeight="1" x14ac:dyDescent="0.3">
      <c r="X808" s="1"/>
      <c r="Y808" s="1"/>
    </row>
    <row r="809" spans="24:25" ht="20.100000000000001" customHeight="1" x14ac:dyDescent="0.3">
      <c r="X809" s="1"/>
      <c r="Y809" s="1"/>
    </row>
    <row r="810" spans="24:25" ht="20.100000000000001" customHeight="1" x14ac:dyDescent="0.3">
      <c r="X810" s="1"/>
      <c r="Y810" s="1"/>
    </row>
    <row r="811" spans="24:25" ht="20.100000000000001" customHeight="1" x14ac:dyDescent="0.3">
      <c r="X811" s="1"/>
      <c r="Y811" s="1"/>
    </row>
    <row r="812" spans="24:25" ht="20.100000000000001" customHeight="1" x14ac:dyDescent="0.3">
      <c r="X812" s="1"/>
      <c r="Y812" s="1"/>
    </row>
    <row r="813" spans="24:25" ht="20.100000000000001" customHeight="1" x14ac:dyDescent="0.3">
      <c r="X813" s="1"/>
      <c r="Y813" s="1"/>
    </row>
    <row r="814" spans="24:25" ht="20.100000000000001" customHeight="1" x14ac:dyDescent="0.3">
      <c r="X814" s="1"/>
      <c r="Y814" s="1"/>
    </row>
    <row r="815" spans="24:25" ht="20.100000000000001" customHeight="1" x14ac:dyDescent="0.3">
      <c r="X815" s="1"/>
      <c r="Y815" s="1"/>
    </row>
    <row r="816" spans="24:25" ht="20.100000000000001" customHeight="1" x14ac:dyDescent="0.3">
      <c r="X816" s="1"/>
      <c r="Y816" s="1"/>
    </row>
    <row r="817" spans="24:25" ht="20.100000000000001" customHeight="1" x14ac:dyDescent="0.3">
      <c r="X817" s="1"/>
      <c r="Y817" s="1"/>
    </row>
    <row r="818" spans="24:25" ht="20.100000000000001" customHeight="1" x14ac:dyDescent="0.3">
      <c r="X818" s="1"/>
      <c r="Y818" s="1"/>
    </row>
    <row r="819" spans="24:25" ht="20.100000000000001" customHeight="1" x14ac:dyDescent="0.3">
      <c r="X819" s="1"/>
      <c r="Y819" s="1"/>
    </row>
    <row r="820" spans="24:25" ht="20.100000000000001" customHeight="1" x14ac:dyDescent="0.3">
      <c r="X820" s="1"/>
      <c r="Y820" s="1"/>
    </row>
    <row r="821" spans="24:25" ht="20.100000000000001" customHeight="1" x14ac:dyDescent="0.3">
      <c r="X821" s="1"/>
      <c r="Y821" s="1"/>
    </row>
    <row r="822" spans="24:25" ht="20.100000000000001" customHeight="1" x14ac:dyDescent="0.3">
      <c r="X822" s="1"/>
      <c r="Y822" s="1"/>
    </row>
    <row r="823" spans="24:25" ht="20.100000000000001" customHeight="1" x14ac:dyDescent="0.3">
      <c r="X823" s="1"/>
      <c r="Y823" s="1"/>
    </row>
    <row r="824" spans="24:25" ht="20.100000000000001" customHeight="1" x14ac:dyDescent="0.3">
      <c r="X824" s="1"/>
      <c r="Y824" s="1"/>
    </row>
    <row r="825" spans="24:25" ht="20.100000000000001" customHeight="1" x14ac:dyDescent="0.3">
      <c r="X825" s="1"/>
      <c r="Y825" s="1"/>
    </row>
    <row r="826" spans="24:25" ht="20.100000000000001" customHeight="1" x14ac:dyDescent="0.3">
      <c r="X826" s="1"/>
      <c r="Y826" s="1"/>
    </row>
    <row r="827" spans="24:25" ht="20.100000000000001" customHeight="1" x14ac:dyDescent="0.3">
      <c r="X827" s="1"/>
      <c r="Y827" s="1"/>
    </row>
    <row r="828" spans="24:25" ht="20.100000000000001" customHeight="1" x14ac:dyDescent="0.3">
      <c r="X828" s="1"/>
      <c r="Y828" s="1"/>
    </row>
    <row r="829" spans="24:25" ht="20.100000000000001" customHeight="1" x14ac:dyDescent="0.3">
      <c r="X829" s="1"/>
      <c r="Y829" s="1"/>
    </row>
    <row r="830" spans="24:25" ht="20.100000000000001" customHeight="1" x14ac:dyDescent="0.3">
      <c r="X830" s="1"/>
      <c r="Y830" s="1"/>
    </row>
    <row r="831" spans="24:25" ht="20.100000000000001" customHeight="1" x14ac:dyDescent="0.3">
      <c r="X831" s="1"/>
      <c r="Y831" s="1"/>
    </row>
    <row r="832" spans="24:25" ht="20.100000000000001" customHeight="1" x14ac:dyDescent="0.3">
      <c r="X832" s="1"/>
      <c r="Y832" s="1"/>
    </row>
    <row r="833" spans="24:25" ht="20.100000000000001" customHeight="1" x14ac:dyDescent="0.3">
      <c r="X833" s="1"/>
      <c r="Y833" s="1"/>
    </row>
    <row r="834" spans="24:25" ht="20.100000000000001" customHeight="1" x14ac:dyDescent="0.3">
      <c r="X834" s="1"/>
      <c r="Y834" s="1"/>
    </row>
    <row r="835" spans="24:25" ht="20.100000000000001" customHeight="1" x14ac:dyDescent="0.3">
      <c r="X835" s="1"/>
      <c r="Y835" s="1"/>
    </row>
    <row r="836" spans="24:25" ht="20.100000000000001" customHeight="1" x14ac:dyDescent="0.3">
      <c r="X836" s="1"/>
      <c r="Y836" s="1"/>
    </row>
    <row r="837" spans="24:25" ht="20.100000000000001" customHeight="1" x14ac:dyDescent="0.3">
      <c r="X837" s="1"/>
      <c r="Y837" s="1"/>
    </row>
    <row r="838" spans="24:25" ht="20.100000000000001" customHeight="1" x14ac:dyDescent="0.3">
      <c r="X838" s="1"/>
      <c r="Y838" s="1"/>
    </row>
    <row r="839" spans="24:25" ht="20.100000000000001" customHeight="1" x14ac:dyDescent="0.3">
      <c r="X839" s="1"/>
      <c r="Y839" s="1"/>
    </row>
    <row r="840" spans="24:25" ht="20.100000000000001" customHeight="1" x14ac:dyDescent="0.3">
      <c r="X840" s="1"/>
      <c r="Y840" s="1"/>
    </row>
    <row r="841" spans="24:25" ht="20.100000000000001" customHeight="1" x14ac:dyDescent="0.3">
      <c r="X841" s="1"/>
      <c r="Y841" s="1"/>
    </row>
    <row r="842" spans="24:25" ht="20.100000000000001" customHeight="1" x14ac:dyDescent="0.3">
      <c r="X842" s="1"/>
      <c r="Y842" s="1"/>
    </row>
    <row r="843" spans="24:25" ht="20.100000000000001" customHeight="1" x14ac:dyDescent="0.3">
      <c r="X843" s="1"/>
      <c r="Y843" s="1"/>
    </row>
    <row r="844" spans="24:25" ht="20.100000000000001" customHeight="1" x14ac:dyDescent="0.3">
      <c r="X844" s="1"/>
      <c r="Y844" s="1"/>
    </row>
    <row r="845" spans="24:25" ht="20.100000000000001" customHeight="1" x14ac:dyDescent="0.3">
      <c r="X845" s="1"/>
      <c r="Y845" s="1"/>
    </row>
    <row r="846" spans="24:25" ht="20.100000000000001" customHeight="1" x14ac:dyDescent="0.3">
      <c r="X846" s="1"/>
      <c r="Y846" s="1"/>
    </row>
    <row r="847" spans="24:25" ht="20.100000000000001" customHeight="1" x14ac:dyDescent="0.3">
      <c r="X847" s="1"/>
      <c r="Y847" s="1"/>
    </row>
    <row r="848" spans="24:25" ht="20.100000000000001" customHeight="1" x14ac:dyDescent="0.3">
      <c r="X848" s="1"/>
      <c r="Y848" s="1"/>
    </row>
    <row r="849" spans="24:25" ht="20.100000000000001" customHeight="1" x14ac:dyDescent="0.3">
      <c r="X849" s="1"/>
      <c r="Y849" s="1"/>
    </row>
    <row r="850" spans="24:25" ht="20.100000000000001" customHeight="1" x14ac:dyDescent="0.3">
      <c r="X850" s="1"/>
      <c r="Y850" s="1"/>
    </row>
    <row r="851" spans="24:25" ht="20.100000000000001" customHeight="1" x14ac:dyDescent="0.3">
      <c r="X851" s="1"/>
      <c r="Y851" s="1"/>
    </row>
    <row r="852" spans="24:25" ht="20.100000000000001" customHeight="1" x14ac:dyDescent="0.3">
      <c r="X852" s="1"/>
      <c r="Y852" s="1"/>
    </row>
    <row r="853" spans="24:25" ht="20.100000000000001" customHeight="1" x14ac:dyDescent="0.3">
      <c r="X853" s="1"/>
      <c r="Y853" s="1"/>
    </row>
    <row r="854" spans="24:25" ht="20.100000000000001" customHeight="1" x14ac:dyDescent="0.3">
      <c r="X854" s="1"/>
      <c r="Y854" s="1"/>
    </row>
    <row r="855" spans="24:25" ht="20.100000000000001" customHeight="1" x14ac:dyDescent="0.3">
      <c r="X855" s="1"/>
      <c r="Y855" s="1"/>
    </row>
    <row r="856" spans="24:25" ht="20.100000000000001" customHeight="1" x14ac:dyDescent="0.3">
      <c r="X856" s="1"/>
      <c r="Y856" s="1"/>
    </row>
    <row r="857" spans="24:25" ht="20.100000000000001" customHeight="1" x14ac:dyDescent="0.3">
      <c r="X857" s="1"/>
      <c r="Y857" s="1"/>
    </row>
    <row r="858" spans="24:25" ht="20.100000000000001" customHeight="1" x14ac:dyDescent="0.3">
      <c r="X858" s="1"/>
      <c r="Y858" s="1"/>
    </row>
    <row r="859" spans="24:25" ht="20.100000000000001" customHeight="1" x14ac:dyDescent="0.3">
      <c r="X859" s="1"/>
      <c r="Y859" s="1"/>
    </row>
    <row r="860" spans="24:25" ht="20.100000000000001" customHeight="1" x14ac:dyDescent="0.3">
      <c r="X860" s="1"/>
      <c r="Y860" s="1"/>
    </row>
    <row r="861" spans="24:25" ht="20.100000000000001" customHeight="1" x14ac:dyDescent="0.3">
      <c r="X861" s="1"/>
      <c r="Y861" s="1"/>
    </row>
    <row r="862" spans="24:25" ht="20.100000000000001" customHeight="1" x14ac:dyDescent="0.3">
      <c r="X862" s="1"/>
      <c r="Y862" s="1"/>
    </row>
    <row r="863" spans="24:25" ht="20.100000000000001" customHeight="1" x14ac:dyDescent="0.3">
      <c r="X863" s="1"/>
      <c r="Y863" s="1"/>
    </row>
    <row r="864" spans="24:25" ht="20.100000000000001" customHeight="1" x14ac:dyDescent="0.3">
      <c r="X864" s="1"/>
      <c r="Y864" s="1"/>
    </row>
    <row r="865" spans="24:25" ht="20.100000000000001" customHeight="1" x14ac:dyDescent="0.3">
      <c r="X865" s="1"/>
      <c r="Y865" s="1"/>
    </row>
    <row r="866" spans="24:25" ht="20.100000000000001" customHeight="1" x14ac:dyDescent="0.3">
      <c r="X866" s="1"/>
      <c r="Y866" s="1"/>
    </row>
    <row r="867" spans="24:25" ht="20.100000000000001" customHeight="1" x14ac:dyDescent="0.3">
      <c r="X867" s="1"/>
      <c r="Y867" s="1"/>
    </row>
    <row r="868" spans="24:25" ht="20.100000000000001" customHeight="1" x14ac:dyDescent="0.3">
      <c r="X868" s="1"/>
      <c r="Y868" s="1"/>
    </row>
    <row r="869" spans="24:25" ht="20.100000000000001" customHeight="1" x14ac:dyDescent="0.3">
      <c r="X869" s="1"/>
      <c r="Y869" s="1"/>
    </row>
    <row r="870" spans="24:25" ht="20.100000000000001" customHeight="1" x14ac:dyDescent="0.3">
      <c r="X870" s="1"/>
      <c r="Y870" s="1"/>
    </row>
    <row r="871" spans="24:25" ht="20.100000000000001" customHeight="1" x14ac:dyDescent="0.3">
      <c r="X871" s="1"/>
      <c r="Y871" s="1"/>
    </row>
    <row r="872" spans="24:25" ht="20.100000000000001" customHeight="1" x14ac:dyDescent="0.3">
      <c r="X872" s="1"/>
      <c r="Y872" s="1"/>
    </row>
    <row r="873" spans="24:25" ht="20.100000000000001" customHeight="1" x14ac:dyDescent="0.3">
      <c r="X873" s="1"/>
      <c r="Y873" s="1"/>
    </row>
    <row r="874" spans="24:25" ht="20.100000000000001" customHeight="1" x14ac:dyDescent="0.3">
      <c r="X874" s="1"/>
      <c r="Y874" s="1"/>
    </row>
    <row r="875" spans="24:25" ht="20.100000000000001" customHeight="1" x14ac:dyDescent="0.3">
      <c r="X875" s="1"/>
      <c r="Y875" s="1"/>
    </row>
    <row r="876" spans="24:25" ht="20.100000000000001" customHeight="1" x14ac:dyDescent="0.3">
      <c r="X876" s="1"/>
      <c r="Y876" s="1"/>
    </row>
    <row r="877" spans="24:25" ht="20.100000000000001" customHeight="1" x14ac:dyDescent="0.3">
      <c r="X877" s="1"/>
      <c r="Y877" s="1"/>
    </row>
    <row r="878" spans="24:25" ht="20.100000000000001" customHeight="1" x14ac:dyDescent="0.3">
      <c r="X878" s="1"/>
      <c r="Y878" s="1"/>
    </row>
    <row r="879" spans="24:25" ht="20.100000000000001" customHeight="1" x14ac:dyDescent="0.3">
      <c r="X879" s="1"/>
      <c r="Y879" s="1"/>
    </row>
    <row r="880" spans="24:25" ht="20.100000000000001" customHeight="1" x14ac:dyDescent="0.3">
      <c r="X880" s="1"/>
      <c r="Y880" s="1"/>
    </row>
    <row r="881" spans="24:25" ht="20.100000000000001" customHeight="1" x14ac:dyDescent="0.3">
      <c r="X881" s="1"/>
      <c r="Y881" s="1"/>
    </row>
    <row r="882" spans="24:25" ht="20.100000000000001" customHeight="1" x14ac:dyDescent="0.3">
      <c r="X882" s="1"/>
      <c r="Y882" s="1"/>
    </row>
    <row r="883" spans="24:25" ht="20.100000000000001" customHeight="1" x14ac:dyDescent="0.3">
      <c r="X883" s="1"/>
      <c r="Y883" s="1"/>
    </row>
    <row r="884" spans="24:25" ht="20.100000000000001" customHeight="1" x14ac:dyDescent="0.3">
      <c r="X884" s="1"/>
      <c r="Y884" s="1"/>
    </row>
    <row r="885" spans="24:25" ht="20.100000000000001" customHeight="1" x14ac:dyDescent="0.3">
      <c r="X885" s="1"/>
      <c r="Y885" s="1"/>
    </row>
    <row r="886" spans="24:25" ht="20.100000000000001" customHeight="1" x14ac:dyDescent="0.3">
      <c r="X886" s="1"/>
      <c r="Y886" s="1"/>
    </row>
    <row r="887" spans="24:25" ht="20.100000000000001" customHeight="1" x14ac:dyDescent="0.3">
      <c r="X887" s="1"/>
      <c r="Y887" s="1"/>
    </row>
    <row r="888" spans="24:25" ht="20.100000000000001" customHeight="1" x14ac:dyDescent="0.3">
      <c r="X888" s="1"/>
      <c r="Y888" s="1"/>
    </row>
    <row r="889" spans="24:25" ht="20.100000000000001" customHeight="1" x14ac:dyDescent="0.3">
      <c r="X889" s="1"/>
      <c r="Y889" s="1"/>
    </row>
    <row r="890" spans="24:25" ht="20.100000000000001" customHeight="1" x14ac:dyDescent="0.3">
      <c r="X890" s="1"/>
      <c r="Y890" s="1"/>
    </row>
    <row r="891" spans="24:25" ht="20.100000000000001" customHeight="1" x14ac:dyDescent="0.3">
      <c r="X891" s="1"/>
      <c r="Y891" s="1"/>
    </row>
    <row r="892" spans="24:25" ht="20.100000000000001" customHeight="1" x14ac:dyDescent="0.3">
      <c r="X892" s="1"/>
      <c r="Y892" s="1"/>
    </row>
    <row r="893" spans="24:25" ht="20.100000000000001" customHeight="1" x14ac:dyDescent="0.3">
      <c r="X893" s="1"/>
      <c r="Y893" s="1"/>
    </row>
    <row r="894" spans="24:25" ht="20.100000000000001" customHeight="1" x14ac:dyDescent="0.3">
      <c r="X894" s="1"/>
      <c r="Y894" s="1"/>
    </row>
    <row r="895" spans="24:25" ht="20.100000000000001" customHeight="1" x14ac:dyDescent="0.3">
      <c r="X895" s="1"/>
      <c r="Y895" s="1"/>
    </row>
    <row r="896" spans="24:25" ht="20.100000000000001" customHeight="1" x14ac:dyDescent="0.3">
      <c r="X896" s="1"/>
      <c r="Y896" s="1"/>
    </row>
    <row r="897" spans="24:25" ht="20.100000000000001" customHeight="1" x14ac:dyDescent="0.3">
      <c r="X897" s="1"/>
      <c r="Y897" s="1"/>
    </row>
    <row r="898" spans="24:25" ht="20.100000000000001" customHeight="1" x14ac:dyDescent="0.3">
      <c r="X898" s="1"/>
      <c r="Y898" s="1"/>
    </row>
    <row r="899" spans="24:25" ht="20.100000000000001" customHeight="1" x14ac:dyDescent="0.3">
      <c r="X899" s="1"/>
      <c r="Y899" s="1"/>
    </row>
    <row r="900" spans="24:25" ht="20.100000000000001" customHeight="1" x14ac:dyDescent="0.3">
      <c r="X900" s="1"/>
      <c r="Y900" s="1"/>
    </row>
    <row r="901" spans="24:25" ht="20.100000000000001" customHeight="1" x14ac:dyDescent="0.3">
      <c r="X901" s="1"/>
      <c r="Y901" s="1"/>
    </row>
    <row r="902" spans="24:25" ht="20.100000000000001" customHeight="1" x14ac:dyDescent="0.3">
      <c r="X902" s="1"/>
      <c r="Y902" s="1"/>
    </row>
    <row r="903" spans="24:25" ht="20.100000000000001" customHeight="1" x14ac:dyDescent="0.3">
      <c r="X903" s="1"/>
      <c r="Y903" s="1"/>
    </row>
    <row r="904" spans="24:25" ht="20.100000000000001" customHeight="1" x14ac:dyDescent="0.3">
      <c r="X904" s="1"/>
      <c r="Y904" s="1"/>
    </row>
    <row r="905" spans="24:25" ht="20.100000000000001" customHeight="1" x14ac:dyDescent="0.3">
      <c r="X905" s="1"/>
      <c r="Y905" s="1"/>
    </row>
    <row r="906" spans="24:25" ht="20.100000000000001" customHeight="1" x14ac:dyDescent="0.3">
      <c r="X906" s="1"/>
      <c r="Y906" s="1"/>
    </row>
    <row r="907" spans="24:25" ht="20.100000000000001" customHeight="1" x14ac:dyDescent="0.3">
      <c r="X907" s="1"/>
      <c r="Y907" s="1"/>
    </row>
    <row r="908" spans="24:25" ht="20.100000000000001" customHeight="1" x14ac:dyDescent="0.3">
      <c r="X908" s="1"/>
      <c r="Y908" s="1"/>
    </row>
    <row r="909" spans="24:25" ht="20.100000000000001" customHeight="1" x14ac:dyDescent="0.3">
      <c r="X909" s="1"/>
      <c r="Y909" s="1"/>
    </row>
    <row r="910" spans="24:25" ht="20.100000000000001" customHeight="1" x14ac:dyDescent="0.3">
      <c r="X910" s="1"/>
      <c r="Y910" s="1"/>
    </row>
    <row r="911" spans="24:25" ht="20.100000000000001" customHeight="1" x14ac:dyDescent="0.3">
      <c r="X911" s="1"/>
      <c r="Y911" s="1"/>
    </row>
    <row r="912" spans="24:25" ht="20.100000000000001" customHeight="1" x14ac:dyDescent="0.3">
      <c r="X912" s="1"/>
      <c r="Y912" s="1"/>
    </row>
    <row r="913" spans="24:25" ht="20.100000000000001" customHeight="1" x14ac:dyDescent="0.3">
      <c r="X913" s="1"/>
      <c r="Y913" s="1"/>
    </row>
    <row r="914" spans="24:25" ht="20.100000000000001" customHeight="1" x14ac:dyDescent="0.3">
      <c r="X914" s="1"/>
      <c r="Y914" s="1"/>
    </row>
    <row r="915" spans="24:25" ht="20.100000000000001" customHeight="1" x14ac:dyDescent="0.3">
      <c r="X915" s="1"/>
      <c r="Y915" s="1"/>
    </row>
    <row r="916" spans="24:25" ht="20.100000000000001" customHeight="1" x14ac:dyDescent="0.3">
      <c r="X916" s="1"/>
      <c r="Y916" s="1"/>
    </row>
    <row r="917" spans="24:25" ht="20.100000000000001" customHeight="1" x14ac:dyDescent="0.3">
      <c r="X917" s="1"/>
      <c r="Y917" s="1"/>
    </row>
    <row r="918" spans="24:25" ht="20.100000000000001" customHeight="1" x14ac:dyDescent="0.3">
      <c r="X918" s="1"/>
      <c r="Y918" s="1"/>
    </row>
    <row r="919" spans="24:25" ht="20.100000000000001" customHeight="1" x14ac:dyDescent="0.3">
      <c r="X919" s="1"/>
      <c r="Y919" s="1"/>
    </row>
    <row r="920" spans="24:25" ht="20.100000000000001" customHeight="1" x14ac:dyDescent="0.3">
      <c r="X920" s="1"/>
      <c r="Y920" s="1"/>
    </row>
    <row r="921" spans="24:25" ht="20.100000000000001" customHeight="1" x14ac:dyDescent="0.3">
      <c r="X921" s="1"/>
      <c r="Y921" s="1"/>
    </row>
    <row r="922" spans="24:25" ht="20.100000000000001" customHeight="1" x14ac:dyDescent="0.3">
      <c r="X922" s="1"/>
      <c r="Y922" s="1"/>
    </row>
    <row r="923" spans="24:25" ht="20.100000000000001" customHeight="1" x14ac:dyDescent="0.3">
      <c r="X923" s="1"/>
      <c r="Y923" s="1"/>
    </row>
    <row r="924" spans="24:25" ht="20.100000000000001" customHeight="1" x14ac:dyDescent="0.3">
      <c r="X924" s="1"/>
      <c r="Y924" s="1"/>
    </row>
    <row r="925" spans="24:25" ht="20.100000000000001" customHeight="1" x14ac:dyDescent="0.3">
      <c r="X925" s="1"/>
      <c r="Y925" s="1"/>
    </row>
    <row r="926" spans="24:25" ht="20.100000000000001" customHeight="1" x14ac:dyDescent="0.3">
      <c r="X926" s="1"/>
      <c r="Y926" s="1"/>
    </row>
    <row r="927" spans="24:25" ht="20.100000000000001" customHeight="1" x14ac:dyDescent="0.3">
      <c r="X927" s="1"/>
      <c r="Y927" s="1"/>
    </row>
    <row r="928" spans="24:25" ht="20.100000000000001" customHeight="1" x14ac:dyDescent="0.3">
      <c r="X928" s="1"/>
      <c r="Y928" s="1"/>
    </row>
    <row r="929" spans="24:25" ht="20.100000000000001" customHeight="1" x14ac:dyDescent="0.3">
      <c r="X929" s="1"/>
      <c r="Y929" s="1"/>
    </row>
    <row r="930" spans="24:25" ht="20.100000000000001" customHeight="1" x14ac:dyDescent="0.3">
      <c r="X930" s="1"/>
      <c r="Y930" s="1"/>
    </row>
    <row r="931" spans="24:25" ht="20.100000000000001" customHeight="1" x14ac:dyDescent="0.3">
      <c r="X931" s="1"/>
      <c r="Y931" s="1"/>
    </row>
    <row r="932" spans="24:25" ht="20.100000000000001" customHeight="1" x14ac:dyDescent="0.3">
      <c r="X932" s="1"/>
      <c r="Y932" s="1"/>
    </row>
    <row r="933" spans="24:25" ht="20.100000000000001" customHeight="1" x14ac:dyDescent="0.3">
      <c r="X933" s="1"/>
      <c r="Y933" s="1"/>
    </row>
    <row r="934" spans="24:25" ht="20.100000000000001" customHeight="1" x14ac:dyDescent="0.3">
      <c r="X934" s="1"/>
      <c r="Y934" s="1"/>
    </row>
    <row r="935" spans="24:25" ht="20.100000000000001" customHeight="1" x14ac:dyDescent="0.3">
      <c r="X935" s="1"/>
      <c r="Y935" s="1"/>
    </row>
    <row r="936" spans="24:25" ht="20.100000000000001" customHeight="1" x14ac:dyDescent="0.3">
      <c r="X936" s="1"/>
      <c r="Y936" s="1"/>
    </row>
    <row r="937" spans="24:25" ht="20.100000000000001" customHeight="1" x14ac:dyDescent="0.3">
      <c r="X937" s="1"/>
      <c r="Y937" s="1"/>
    </row>
    <row r="938" spans="24:25" ht="20.100000000000001" customHeight="1" x14ac:dyDescent="0.3">
      <c r="X938" s="1"/>
      <c r="Y938" s="1"/>
    </row>
    <row r="939" spans="24:25" ht="20.100000000000001" customHeight="1" x14ac:dyDescent="0.3">
      <c r="X939" s="1"/>
      <c r="Y939" s="1"/>
    </row>
    <row r="940" spans="24:25" ht="20.100000000000001" customHeight="1" x14ac:dyDescent="0.3">
      <c r="X940" s="1"/>
      <c r="Y940" s="1"/>
    </row>
    <row r="941" spans="24:25" ht="20.100000000000001" customHeight="1" x14ac:dyDescent="0.3">
      <c r="X941" s="1"/>
      <c r="Y941" s="1"/>
    </row>
    <row r="942" spans="24:25" ht="20.100000000000001" customHeight="1" x14ac:dyDescent="0.3">
      <c r="X942" s="1"/>
      <c r="Y942" s="1"/>
    </row>
    <row r="943" spans="24:25" ht="20.100000000000001" customHeight="1" x14ac:dyDescent="0.3">
      <c r="X943" s="1"/>
      <c r="Y943" s="1"/>
    </row>
    <row r="944" spans="24:25" ht="20.100000000000001" customHeight="1" x14ac:dyDescent="0.3">
      <c r="X944" s="1"/>
      <c r="Y944" s="1"/>
    </row>
    <row r="945" spans="24:25" ht="20.100000000000001" customHeight="1" x14ac:dyDescent="0.3">
      <c r="X945" s="1"/>
      <c r="Y945" s="1"/>
    </row>
    <row r="946" spans="24:25" ht="20.100000000000001" customHeight="1" x14ac:dyDescent="0.3">
      <c r="X946" s="1"/>
      <c r="Y946" s="1"/>
    </row>
    <row r="947" spans="24:25" ht="20.100000000000001" customHeight="1" x14ac:dyDescent="0.3">
      <c r="X947" s="1"/>
      <c r="Y947" s="1"/>
    </row>
    <row r="948" spans="24:25" ht="20.100000000000001" customHeight="1" x14ac:dyDescent="0.3">
      <c r="X948" s="1"/>
      <c r="Y948" s="1"/>
    </row>
    <row r="949" spans="24:25" ht="20.100000000000001" customHeight="1" x14ac:dyDescent="0.3">
      <c r="X949" s="1"/>
      <c r="Y949" s="1"/>
    </row>
    <row r="950" spans="24:25" ht="20.100000000000001" customHeight="1" x14ac:dyDescent="0.3">
      <c r="X950" s="1"/>
      <c r="Y950" s="1"/>
    </row>
    <row r="951" spans="24:25" ht="20.100000000000001" customHeight="1" x14ac:dyDescent="0.3">
      <c r="X951" s="1"/>
      <c r="Y951" s="1"/>
    </row>
    <row r="952" spans="24:25" ht="20.100000000000001" customHeight="1" x14ac:dyDescent="0.3">
      <c r="X952" s="1"/>
      <c r="Y952" s="1"/>
    </row>
    <row r="953" spans="24:25" ht="20.100000000000001" customHeight="1" x14ac:dyDescent="0.3">
      <c r="X953" s="1"/>
      <c r="Y953" s="1"/>
    </row>
    <row r="954" spans="24:25" ht="20.100000000000001" customHeight="1" x14ac:dyDescent="0.3">
      <c r="X954" s="1"/>
      <c r="Y954" s="1"/>
    </row>
    <row r="955" spans="24:25" ht="20.100000000000001" customHeight="1" x14ac:dyDescent="0.3">
      <c r="X955" s="1"/>
      <c r="Y955" s="1"/>
    </row>
    <row r="956" spans="24:25" ht="20.100000000000001" customHeight="1" x14ac:dyDescent="0.3">
      <c r="X956" s="1"/>
      <c r="Y956" s="1"/>
    </row>
    <row r="957" spans="24:25" ht="20.100000000000001" customHeight="1" x14ac:dyDescent="0.3">
      <c r="X957" s="1"/>
      <c r="Y957" s="1"/>
    </row>
    <row r="958" spans="24:25" ht="20.100000000000001" customHeight="1" x14ac:dyDescent="0.3">
      <c r="X958" s="1"/>
      <c r="Y958" s="1"/>
    </row>
    <row r="959" spans="24:25" ht="20.100000000000001" customHeight="1" x14ac:dyDescent="0.3">
      <c r="X959" s="1"/>
      <c r="Y959" s="1"/>
    </row>
    <row r="960" spans="24:25" ht="20.100000000000001" customHeight="1" x14ac:dyDescent="0.3">
      <c r="X960" s="1"/>
      <c r="Y960" s="1"/>
    </row>
    <row r="961" spans="24:25" ht="20.100000000000001" customHeight="1" x14ac:dyDescent="0.3">
      <c r="X961" s="1"/>
      <c r="Y961" s="1"/>
    </row>
    <row r="962" spans="24:25" ht="20.100000000000001" customHeight="1" x14ac:dyDescent="0.3">
      <c r="X962" s="1"/>
      <c r="Y962" s="1"/>
    </row>
    <row r="963" spans="24:25" ht="20.100000000000001" customHeight="1" x14ac:dyDescent="0.3">
      <c r="X963" s="1"/>
      <c r="Y963" s="1"/>
    </row>
    <row r="964" spans="24:25" ht="20.100000000000001" customHeight="1" x14ac:dyDescent="0.3">
      <c r="X964" s="1"/>
      <c r="Y964" s="1"/>
    </row>
    <row r="965" spans="24:25" ht="20.100000000000001" customHeight="1" x14ac:dyDescent="0.3">
      <c r="X965" s="1"/>
      <c r="Y965" s="1"/>
    </row>
    <row r="966" spans="24:25" ht="20.100000000000001" customHeight="1" x14ac:dyDescent="0.3">
      <c r="X966" s="1"/>
      <c r="Y966" s="1"/>
    </row>
    <row r="967" spans="24:25" ht="20.100000000000001" customHeight="1" x14ac:dyDescent="0.3">
      <c r="X967" s="1"/>
      <c r="Y967" s="1"/>
    </row>
    <row r="968" spans="24:25" ht="20.100000000000001" customHeight="1" x14ac:dyDescent="0.3">
      <c r="X968" s="1"/>
      <c r="Y968" s="1"/>
    </row>
    <row r="969" spans="24:25" ht="20.100000000000001" customHeight="1" x14ac:dyDescent="0.3">
      <c r="X969" s="1"/>
      <c r="Y969" s="1"/>
    </row>
    <row r="970" spans="24:25" ht="20.100000000000001" customHeight="1" x14ac:dyDescent="0.3">
      <c r="X970" s="1"/>
      <c r="Y970" s="1"/>
    </row>
    <row r="971" spans="24:25" ht="20.100000000000001" customHeight="1" x14ac:dyDescent="0.3">
      <c r="X971" s="1"/>
      <c r="Y971" s="1"/>
    </row>
    <row r="972" spans="24:25" ht="20.100000000000001" customHeight="1" x14ac:dyDescent="0.3">
      <c r="X972" s="1"/>
      <c r="Y972" s="1"/>
    </row>
    <row r="973" spans="24:25" ht="20.100000000000001" customHeight="1" x14ac:dyDescent="0.3">
      <c r="X973" s="1"/>
      <c r="Y973" s="1"/>
    </row>
    <row r="974" spans="24:25" ht="20.100000000000001" customHeight="1" x14ac:dyDescent="0.3">
      <c r="X974" s="1"/>
      <c r="Y974" s="1"/>
    </row>
    <row r="975" spans="24:25" ht="20.100000000000001" customHeight="1" x14ac:dyDescent="0.3">
      <c r="X975" s="1"/>
      <c r="Y975" s="1"/>
    </row>
    <row r="976" spans="24:25" ht="20.100000000000001" customHeight="1" x14ac:dyDescent="0.3">
      <c r="X976" s="1"/>
      <c r="Y976" s="1"/>
    </row>
    <row r="977" spans="24:25" ht="20.100000000000001" customHeight="1" x14ac:dyDescent="0.3">
      <c r="X977" s="1"/>
      <c r="Y977" s="1"/>
    </row>
    <row r="978" spans="24:25" ht="20.100000000000001" customHeight="1" x14ac:dyDescent="0.3">
      <c r="X978" s="1"/>
      <c r="Y978" s="1"/>
    </row>
    <row r="979" spans="24:25" ht="20.100000000000001" customHeight="1" x14ac:dyDescent="0.3">
      <c r="X979" s="1"/>
      <c r="Y979" s="1"/>
    </row>
    <row r="980" spans="24:25" ht="20.100000000000001" customHeight="1" x14ac:dyDescent="0.3">
      <c r="X980" s="1"/>
      <c r="Y980" s="1"/>
    </row>
    <row r="981" spans="24:25" ht="20.100000000000001" customHeight="1" x14ac:dyDescent="0.3">
      <c r="X981" s="1"/>
      <c r="Y981" s="1"/>
    </row>
    <row r="982" spans="24:25" ht="20.100000000000001" customHeight="1" x14ac:dyDescent="0.3">
      <c r="X982" s="1"/>
      <c r="Y982" s="1"/>
    </row>
    <row r="983" spans="24:25" ht="20.100000000000001" customHeight="1" x14ac:dyDescent="0.3">
      <c r="X983" s="1"/>
      <c r="Y983" s="1"/>
    </row>
    <row r="984" spans="24:25" ht="20.100000000000001" customHeight="1" x14ac:dyDescent="0.3">
      <c r="X984" s="1"/>
      <c r="Y984" s="1"/>
    </row>
    <row r="985" spans="24:25" ht="20.100000000000001" customHeight="1" x14ac:dyDescent="0.3">
      <c r="X985" s="1"/>
      <c r="Y985" s="1"/>
    </row>
    <row r="986" spans="24:25" ht="20.100000000000001" customHeight="1" x14ac:dyDescent="0.3">
      <c r="X986" s="1"/>
      <c r="Y986" s="1"/>
    </row>
    <row r="987" spans="24:25" ht="20.100000000000001" customHeight="1" x14ac:dyDescent="0.3">
      <c r="X987" s="1"/>
      <c r="Y987" s="1"/>
    </row>
    <row r="988" spans="24:25" ht="20.100000000000001" customHeight="1" x14ac:dyDescent="0.3">
      <c r="X988" s="1"/>
      <c r="Y988" s="1"/>
    </row>
    <row r="989" spans="24:25" ht="20.100000000000001" customHeight="1" x14ac:dyDescent="0.3">
      <c r="X989" s="1"/>
      <c r="Y989" s="1"/>
    </row>
    <row r="990" spans="24:25" ht="20.100000000000001" customHeight="1" x14ac:dyDescent="0.3">
      <c r="X990" s="1"/>
      <c r="Y990" s="1"/>
    </row>
    <row r="991" spans="24:25" ht="20.100000000000001" customHeight="1" x14ac:dyDescent="0.3">
      <c r="X991" s="1"/>
      <c r="Y991" s="1"/>
    </row>
    <row r="992" spans="24:25" ht="20.100000000000001" customHeight="1" x14ac:dyDescent="0.3">
      <c r="X992" s="1"/>
      <c r="Y992" s="1"/>
    </row>
    <row r="993" spans="24:25" ht="20.100000000000001" customHeight="1" x14ac:dyDescent="0.3">
      <c r="X993" s="1"/>
      <c r="Y993" s="1"/>
    </row>
    <row r="994" spans="24:25" ht="20.100000000000001" customHeight="1" x14ac:dyDescent="0.3">
      <c r="X994" s="1"/>
      <c r="Y994" s="1"/>
    </row>
    <row r="995" spans="24:25" ht="20.100000000000001" customHeight="1" x14ac:dyDescent="0.3">
      <c r="X995" s="1"/>
      <c r="Y995" s="1"/>
    </row>
    <row r="996" spans="24:25" ht="20.100000000000001" customHeight="1" x14ac:dyDescent="0.3">
      <c r="X996" s="1"/>
      <c r="Y996" s="1"/>
    </row>
    <row r="997" spans="24:25" ht="20.100000000000001" customHeight="1" x14ac:dyDescent="0.3">
      <c r="X997" s="1"/>
      <c r="Y997" s="1"/>
    </row>
    <row r="998" spans="24:25" ht="20.100000000000001" customHeight="1" x14ac:dyDescent="0.3">
      <c r="X998" s="1"/>
      <c r="Y998" s="1"/>
    </row>
    <row r="999" spans="24:25" ht="20.100000000000001" customHeight="1" x14ac:dyDescent="0.3">
      <c r="X999" s="1"/>
      <c r="Y999" s="1"/>
    </row>
    <row r="1000" spans="24:25" ht="20.100000000000001" customHeight="1" x14ac:dyDescent="0.3">
      <c r="X1000" s="1"/>
      <c r="Y1000" s="1"/>
    </row>
    <row r="1001" spans="24:25" ht="20.100000000000001" customHeight="1" x14ac:dyDescent="0.3">
      <c r="X1001" s="1"/>
      <c r="Y1001" s="1"/>
    </row>
    <row r="1002" spans="24:25" ht="20.100000000000001" customHeight="1" x14ac:dyDescent="0.3">
      <c r="X1002" s="1"/>
      <c r="Y1002" s="1"/>
    </row>
    <row r="1003" spans="24:25" ht="20.100000000000001" customHeight="1" x14ac:dyDescent="0.3">
      <c r="X1003" s="1"/>
      <c r="Y1003" s="1"/>
    </row>
    <row r="1004" spans="24:25" ht="20.100000000000001" customHeight="1" x14ac:dyDescent="0.3">
      <c r="X1004" s="1"/>
      <c r="Y1004" s="1"/>
    </row>
    <row r="1005" spans="24:25" ht="20.100000000000001" customHeight="1" x14ac:dyDescent="0.3">
      <c r="X1005" s="1"/>
      <c r="Y1005" s="1"/>
    </row>
    <row r="1006" spans="24:25" ht="20.100000000000001" customHeight="1" x14ac:dyDescent="0.3">
      <c r="X1006" s="1"/>
      <c r="Y1006" s="1"/>
    </row>
    <row r="1007" spans="24:25" ht="20.100000000000001" customHeight="1" x14ac:dyDescent="0.3">
      <c r="X1007" s="1"/>
      <c r="Y1007" s="1"/>
    </row>
    <row r="1008" spans="24:25" ht="20.100000000000001" customHeight="1" x14ac:dyDescent="0.3">
      <c r="X1008" s="1"/>
      <c r="Y1008" s="1"/>
    </row>
    <row r="1009" spans="24:25" ht="20.100000000000001" customHeight="1" x14ac:dyDescent="0.3">
      <c r="X1009" s="1"/>
      <c r="Y1009" s="1"/>
    </row>
    <row r="1010" spans="24:25" ht="20.100000000000001" customHeight="1" x14ac:dyDescent="0.3">
      <c r="X1010" s="1"/>
      <c r="Y1010" s="1"/>
    </row>
    <row r="1011" spans="24:25" ht="20.100000000000001" customHeight="1" x14ac:dyDescent="0.3">
      <c r="X1011" s="1"/>
      <c r="Y1011" s="1"/>
    </row>
    <row r="1012" spans="24:25" ht="20.100000000000001" customHeight="1" x14ac:dyDescent="0.3">
      <c r="X1012" s="1"/>
      <c r="Y1012" s="1"/>
    </row>
    <row r="1013" spans="24:25" ht="20.100000000000001" customHeight="1" x14ac:dyDescent="0.3">
      <c r="X1013" s="1"/>
      <c r="Y1013" s="1"/>
    </row>
    <row r="1014" spans="24:25" ht="20.100000000000001" customHeight="1" x14ac:dyDescent="0.3">
      <c r="X1014" s="1"/>
      <c r="Y1014" s="1"/>
    </row>
    <row r="1015" spans="24:25" ht="20.100000000000001" customHeight="1" x14ac:dyDescent="0.3">
      <c r="X1015" s="1"/>
      <c r="Y1015" s="1"/>
    </row>
    <row r="1016" spans="24:25" ht="20.100000000000001" customHeight="1" x14ac:dyDescent="0.3">
      <c r="X1016" s="1"/>
      <c r="Y1016" s="1"/>
    </row>
    <row r="1017" spans="24:25" ht="20.100000000000001" customHeight="1" x14ac:dyDescent="0.3">
      <c r="X1017" s="1"/>
      <c r="Y1017" s="1"/>
    </row>
    <row r="1018" spans="24:25" ht="20.100000000000001" customHeight="1" x14ac:dyDescent="0.3">
      <c r="X1018" s="1"/>
      <c r="Y1018" s="1"/>
    </row>
    <row r="1019" spans="24:25" ht="20.100000000000001" customHeight="1" x14ac:dyDescent="0.3">
      <c r="X1019" s="1"/>
      <c r="Y1019" s="1"/>
    </row>
    <row r="1020" spans="24:25" ht="20.100000000000001" customHeight="1" x14ac:dyDescent="0.3">
      <c r="X1020" s="1"/>
      <c r="Y1020" s="1"/>
    </row>
    <row r="1021" spans="24:25" ht="20.100000000000001" customHeight="1" x14ac:dyDescent="0.3">
      <c r="X1021" s="1"/>
      <c r="Y1021" s="1"/>
    </row>
    <row r="1022" spans="24:25" ht="20.100000000000001" customHeight="1" x14ac:dyDescent="0.3">
      <c r="X1022" s="1"/>
      <c r="Y1022" s="1"/>
    </row>
    <row r="1023" spans="24:25" ht="20.100000000000001" customHeight="1" x14ac:dyDescent="0.3">
      <c r="X1023" s="1"/>
      <c r="Y1023" s="1"/>
    </row>
    <row r="1024" spans="24:25" ht="20.100000000000001" customHeight="1" x14ac:dyDescent="0.3">
      <c r="X1024" s="1"/>
      <c r="Y1024" s="1"/>
    </row>
    <row r="1025" spans="24:25" ht="20.100000000000001" customHeight="1" x14ac:dyDescent="0.3">
      <c r="X1025" s="1"/>
      <c r="Y1025" s="1"/>
    </row>
    <row r="1026" spans="24:25" ht="20.100000000000001" customHeight="1" x14ac:dyDescent="0.3">
      <c r="X1026" s="1"/>
      <c r="Y1026" s="1"/>
    </row>
    <row r="1027" spans="24:25" ht="20.100000000000001" customHeight="1" x14ac:dyDescent="0.3">
      <c r="X1027" s="1"/>
      <c r="Y1027" s="1"/>
    </row>
    <row r="1028" spans="24:25" ht="20.100000000000001" customHeight="1" x14ac:dyDescent="0.3">
      <c r="X1028" s="1"/>
      <c r="Y1028" s="1"/>
    </row>
    <row r="1029" spans="24:25" ht="20.100000000000001" customHeight="1" x14ac:dyDescent="0.3">
      <c r="X1029" s="1"/>
      <c r="Y1029" s="1"/>
    </row>
    <row r="1030" spans="24:25" ht="20.100000000000001" customHeight="1" x14ac:dyDescent="0.3">
      <c r="X1030" s="1"/>
      <c r="Y1030" s="1"/>
    </row>
    <row r="1031" spans="24:25" ht="20.100000000000001" customHeight="1" x14ac:dyDescent="0.3">
      <c r="X1031" s="1"/>
      <c r="Y1031" s="1"/>
    </row>
    <row r="1032" spans="24:25" ht="20.100000000000001" customHeight="1" x14ac:dyDescent="0.3">
      <c r="X1032" s="1"/>
      <c r="Y1032" s="1"/>
    </row>
    <row r="1033" spans="24:25" x14ac:dyDescent="0.3">
      <c r="X1033" s="1"/>
      <c r="Y1033" s="1"/>
    </row>
    <row r="1034" spans="24:25" x14ac:dyDescent="0.3">
      <c r="X1034" s="1"/>
      <c r="Y1034" s="1"/>
    </row>
    <row r="1035" spans="24:25" x14ac:dyDescent="0.3">
      <c r="X1035" s="1"/>
      <c r="Y1035" s="1"/>
    </row>
    <row r="1036" spans="24:25" x14ac:dyDescent="0.3">
      <c r="X1036" s="1"/>
      <c r="Y1036" s="1"/>
    </row>
    <row r="1037" spans="24:25" x14ac:dyDescent="0.3">
      <c r="X1037" s="1"/>
      <c r="Y1037" s="1"/>
    </row>
    <row r="1038" spans="24:25" x14ac:dyDescent="0.3">
      <c r="X1038" s="1"/>
      <c r="Y1038" s="1"/>
    </row>
    <row r="1039" spans="24:25" x14ac:dyDescent="0.3">
      <c r="X1039" s="1"/>
      <c r="Y1039" s="1"/>
    </row>
    <row r="1040" spans="24:25" x14ac:dyDescent="0.3">
      <c r="X1040" s="1"/>
      <c r="Y104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DC92-F54E-4213-819B-B396FD1977F3}">
  <dimension ref="A1:H14"/>
  <sheetViews>
    <sheetView tabSelected="1" workbookViewId="0">
      <selection activeCell="L21" sqref="L21"/>
    </sheetView>
  </sheetViews>
  <sheetFormatPr defaultRowHeight="14.4" x14ac:dyDescent="0.3"/>
  <cols>
    <col min="1" max="1" width="12.5546875" style="6" bestFit="1" customWidth="1"/>
    <col min="2" max="2" width="15.33203125" style="6" bestFit="1" customWidth="1"/>
    <col min="3" max="3" width="8.88671875" style="6"/>
    <col min="4" max="4" width="12.5546875" style="6" bestFit="1" customWidth="1"/>
    <col min="5" max="6" width="14.5546875" style="6" bestFit="1" customWidth="1"/>
    <col min="7" max="16384" width="8.88671875" style="6"/>
  </cols>
  <sheetData>
    <row r="1" spans="1:8" x14ac:dyDescent="0.3">
      <c r="A1" s="20" t="s">
        <v>206</v>
      </c>
      <c r="B1" s="21"/>
      <c r="C1" s="21"/>
      <c r="D1" s="21"/>
      <c r="E1" s="21"/>
      <c r="F1" s="21"/>
      <c r="G1" s="21"/>
      <c r="H1" s="22"/>
    </row>
    <row r="2" spans="1:8" x14ac:dyDescent="0.3">
      <c r="A2" s="23"/>
      <c r="B2" s="24"/>
      <c r="C2" s="24"/>
      <c r="D2" s="24"/>
      <c r="E2" s="24"/>
      <c r="F2" s="24"/>
      <c r="G2" s="24"/>
      <c r="H2" s="25"/>
    </row>
    <row r="3" spans="1:8" x14ac:dyDescent="0.3">
      <c r="A3" s="26"/>
      <c r="B3" s="27"/>
      <c r="C3" s="27"/>
      <c r="D3" s="27"/>
      <c r="E3" s="27"/>
      <c r="F3" s="27"/>
      <c r="G3" s="27"/>
      <c r="H3" s="28"/>
    </row>
    <row r="4" spans="1:8" x14ac:dyDescent="0.3">
      <c r="A4" s="10" t="s">
        <v>204</v>
      </c>
      <c r="B4" t="s">
        <v>207</v>
      </c>
      <c r="D4" s="14" t="s">
        <v>204</v>
      </c>
      <c r="E4" t="s">
        <v>208</v>
      </c>
      <c r="H4" s="7"/>
    </row>
    <row r="5" spans="1:8" x14ac:dyDescent="0.3">
      <c r="A5" s="11" t="s">
        <v>158</v>
      </c>
      <c r="B5">
        <v>56</v>
      </c>
      <c r="D5" s="13" t="s">
        <v>158</v>
      </c>
      <c r="E5" s="18">
        <v>601627.90999999992</v>
      </c>
      <c r="H5" s="7"/>
    </row>
    <row r="6" spans="1:8" x14ac:dyDescent="0.3">
      <c r="A6" s="11" t="s">
        <v>152</v>
      </c>
      <c r="B6">
        <v>28</v>
      </c>
      <c r="D6" s="13" t="s">
        <v>152</v>
      </c>
      <c r="E6" s="18">
        <v>272815.5</v>
      </c>
      <c r="H6" s="7"/>
    </row>
    <row r="7" spans="1:8" x14ac:dyDescent="0.3">
      <c r="A7" s="11" t="s">
        <v>178</v>
      </c>
      <c r="B7">
        <v>13</v>
      </c>
      <c r="D7" s="13" t="s">
        <v>178</v>
      </c>
      <c r="E7" s="18">
        <v>148468</v>
      </c>
      <c r="H7" s="7"/>
    </row>
    <row r="8" spans="1:8" x14ac:dyDescent="0.3">
      <c r="A8" s="11" t="s">
        <v>95</v>
      </c>
      <c r="B8">
        <v>8</v>
      </c>
      <c r="D8" s="13" t="s">
        <v>95</v>
      </c>
      <c r="E8" s="18">
        <v>69084</v>
      </c>
      <c r="H8" s="7"/>
    </row>
    <row r="9" spans="1:8" x14ac:dyDescent="0.3">
      <c r="A9" s="11" t="s">
        <v>166</v>
      </c>
      <c r="B9">
        <v>5</v>
      </c>
      <c r="D9" s="13" t="s">
        <v>166</v>
      </c>
      <c r="E9" s="18">
        <v>54762</v>
      </c>
      <c r="G9" s="15" t="str">
        <f>A5</f>
        <v>القاهرة</v>
      </c>
      <c r="H9" s="7"/>
    </row>
    <row r="10" spans="1:8" x14ac:dyDescent="0.3">
      <c r="A10" s="11" t="s">
        <v>163</v>
      </c>
      <c r="B10">
        <v>4</v>
      </c>
      <c r="D10" s="13" t="s">
        <v>157</v>
      </c>
      <c r="E10" s="18">
        <v>41640</v>
      </c>
      <c r="H10" s="7"/>
    </row>
    <row r="11" spans="1:8" x14ac:dyDescent="0.3">
      <c r="A11" s="11" t="s">
        <v>157</v>
      </c>
      <c r="B11">
        <v>3</v>
      </c>
      <c r="D11" s="13" t="s">
        <v>163</v>
      </c>
      <c r="E11" s="18">
        <v>28608</v>
      </c>
      <c r="H11" s="7"/>
    </row>
    <row r="12" spans="1:8" x14ac:dyDescent="0.3">
      <c r="A12" s="11" t="s">
        <v>156</v>
      </c>
      <c r="B12">
        <v>2</v>
      </c>
      <c r="D12" s="13" t="s">
        <v>156</v>
      </c>
      <c r="E12" s="18">
        <v>24288</v>
      </c>
      <c r="H12" s="7"/>
    </row>
    <row r="13" spans="1:8" x14ac:dyDescent="0.3">
      <c r="A13" s="11" t="s">
        <v>45</v>
      </c>
      <c r="B13">
        <v>1</v>
      </c>
      <c r="D13" s="13" t="s">
        <v>45</v>
      </c>
      <c r="E13" s="18">
        <v>12999</v>
      </c>
      <c r="H13" s="7"/>
    </row>
    <row r="14" spans="1:8" ht="15" thickBot="1" x14ac:dyDescent="0.35">
      <c r="A14" s="12" t="s">
        <v>205</v>
      </c>
      <c r="B14" s="16">
        <v>120</v>
      </c>
      <c r="C14" s="8"/>
      <c r="D14" s="17" t="s">
        <v>205</v>
      </c>
      <c r="E14" s="19">
        <v>1254292.4099999999</v>
      </c>
      <c r="F14" s="8"/>
      <c r="G14" s="8"/>
      <c r="H14" s="9"/>
    </row>
  </sheetData>
  <mergeCells count="1">
    <mergeCell ref="A1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A4BE-F1A7-40F3-9693-A63CB920B5A5}">
  <dimension ref="A1"/>
  <sheetViews>
    <sheetView workbookViewId="0">
      <selection activeCell="G18" sqref="G18"/>
    </sheetView>
  </sheetViews>
  <sheetFormatPr defaultRowHeight="14.4" x14ac:dyDescent="0.3"/>
  <cols>
    <col min="1" max="16384" width="8.88671875" style="6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E10F4E-4675-4537-B5BD-B999B72993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</vt:lpstr>
      <vt:lpstr>Pivot_Table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احمد صبحى رفاعى محمود</cp:lastModifiedBy>
  <dcterms:created xsi:type="dcterms:W3CDTF">2015-06-05T18:17:20Z</dcterms:created>
  <dcterms:modified xsi:type="dcterms:W3CDTF">2026-02-06T04:48:42Z</dcterms:modified>
</cp:coreProperties>
</file>